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IT\Data Science\Data Science BootCamp 202604\Clase 05 - Pandas\"/>
    </mc:Choice>
  </mc:AlternateContent>
  <xr:revisionPtr revIDLastSave="0" documentId="13_ncr:1_{930C00FB-5CBE-4E4D-AB12-E4A47EA95CFE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Hoja2" sheetId="3" r:id="rId1"/>
    <sheet name="Hoja1" sheetId="2" r:id="rId2"/>
    <sheet name="Ordenes" sheetId="1" r:id="rId3"/>
    <sheet name="Catalogo" sheetId="4" r:id="rId4"/>
  </sheets>
  <definedNames>
    <definedName name="_xlnm._FilterDatabase" localSheetId="2" hidden="1">Ordenes!$A$1:$W$215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2" i="1" l="1"/>
  <c r="E21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3" i="1"/>
  <c r="E215" i="1"/>
  <c r="E2" i="1"/>
  <c r="C2" i="4"/>
  <c r="C3" i="4" s="1"/>
  <c r="C4" i="4" s="1"/>
  <c r="C5" i="4" s="1"/>
  <c r="C6" i="4" s="1"/>
  <c r="C7" i="4" s="1"/>
  <c r="C8" i="4" s="1"/>
  <c r="C9" i="4" s="1"/>
  <c r="C10" i="4" s="1"/>
  <c r="C11" i="4" s="1"/>
</calcChain>
</file>

<file path=xl/sharedStrings.xml><?xml version="1.0" encoding="utf-8"?>
<sst xmlns="http://schemas.openxmlformats.org/spreadsheetml/2006/main" count="5003" uniqueCount="372">
  <si>
    <t>orderIdentifier</t>
  </si>
  <si>
    <t>orderType</t>
  </si>
  <si>
    <t>vendor.organizationIdentifier</t>
  </si>
  <si>
    <t>buyer.organizationIdentifier</t>
  </si>
  <si>
    <t>shipFromInstructionLocation.locationIdentifier</t>
  </si>
  <si>
    <t>shipToLocation.locationIdentifier</t>
  </si>
  <si>
    <t>orderStatus</t>
  </si>
  <si>
    <t>createdDate</t>
  </si>
  <si>
    <t>requestedShipDate</t>
  </si>
  <si>
    <t>requestedDeliveryDate</t>
  </si>
  <si>
    <t>plannedShipDate</t>
  </si>
  <si>
    <t>plannedDeliveryDate</t>
  </si>
  <si>
    <t>quantity</t>
  </si>
  <si>
    <t>quantityUnits</t>
  </si>
  <si>
    <t>totalValue</t>
  </si>
  <si>
    <t>orderValueCurrency</t>
  </si>
  <si>
    <t>lineCount</t>
  </si>
  <si>
    <t>totalShippedQuantity</t>
  </si>
  <si>
    <t>exclude</t>
  </si>
  <si>
    <t>sourceLink</t>
  </si>
  <si>
    <t>precio_unitario</t>
  </si>
  <si>
    <t>precio_unitario_iva</t>
  </si>
  <si>
    <t>OUTBOUND</t>
  </si>
  <si>
    <t>LightTree</t>
  </si>
  <si>
    <t>AHTD</t>
  </si>
  <si>
    <t>LT-1</t>
  </si>
  <si>
    <t>AHTD - Bentonville</t>
  </si>
  <si>
    <t>2021-06-08T00:00:00</t>
  </si>
  <si>
    <t>2021-07-20T00:00:00</t>
  </si>
  <si>
    <t>2021-07-30T00:00:00</t>
  </si>
  <si>
    <t>2021-07-23T00:00:00</t>
  </si>
  <si>
    <t>EA</t>
  </si>
  <si>
    <t>USD</t>
  </si>
  <si>
    <t>http://lighttree.com/100044349</t>
  </si>
  <si>
    <t>http://lighttree.com/100044350</t>
  </si>
  <si>
    <t>2021-07-13T00:00:00</t>
  </si>
  <si>
    <t>http://lighttree.com/100044353</t>
  </si>
  <si>
    <t>LT-2</t>
  </si>
  <si>
    <t>2017-07-11T00:00:00</t>
  </si>
  <si>
    <t>2021-08-10T00:00:00</t>
  </si>
  <si>
    <t>2021-08-18T00:00:00</t>
  </si>
  <si>
    <t>http://lighttree.com/100055001</t>
  </si>
  <si>
    <t>2017-07-20T00:00:00</t>
  </si>
  <si>
    <t>2021-08-11T00:00:00</t>
  </si>
  <si>
    <t>2021-08-14T00:00:00</t>
  </si>
  <si>
    <t>http://lighttree.com/100055003</t>
  </si>
  <si>
    <t>2021-07-08T00:00:00</t>
  </si>
  <si>
    <t>2021-07-15T00:00:00</t>
  </si>
  <si>
    <t>http://lighttree.com/100044351</t>
  </si>
  <si>
    <t>2021-07-17T00:00:00</t>
  </si>
  <si>
    <t>http://lighttree.com/100044352</t>
  </si>
  <si>
    <t>2021-06-30T00:00:00</t>
  </si>
  <si>
    <t>2021-07-07T00:00:00</t>
  </si>
  <si>
    <t>http://lighttree.com/100044354</t>
  </si>
  <si>
    <t>http://lighttree.com/100044355</t>
  </si>
  <si>
    <t>CALTRAN</t>
  </si>
  <si>
    <t>CALTRAN - San Diego</t>
  </si>
  <si>
    <t>2021-06-11T00:00:00</t>
  </si>
  <si>
    <t>2021-07-26T00:00:00</t>
  </si>
  <si>
    <t>2021-08-03T00:00:00</t>
  </si>
  <si>
    <t>http://lighttree.com/100044343</t>
  </si>
  <si>
    <t>2021-07-28T00:00:00</t>
  </si>
  <si>
    <t>http://lighttree.com/100044344</t>
  </si>
  <si>
    <t>http://lighttree.com/100055000</t>
  </si>
  <si>
    <t>2017-07-07T00:00:00</t>
  </si>
  <si>
    <t>2021-08-06T00:00:00</t>
  </si>
  <si>
    <t>2021-08-12T00:00:00</t>
  </si>
  <si>
    <t>http://lighttree.com/100055002</t>
  </si>
  <si>
    <t>http://lighttree.com/100055005</t>
  </si>
  <si>
    <t>http://lighttree.com/100055007</t>
  </si>
  <si>
    <t>http://lighttree.com/100055009</t>
  </si>
  <si>
    <t>2021-06-28T00:00:00</t>
  </si>
  <si>
    <t>2021-07-11T00:00:00</t>
  </si>
  <si>
    <t>2021-07-03T00:00:00</t>
  </si>
  <si>
    <t>http://lighttree.com/100044345</t>
  </si>
  <si>
    <t>http://lighttree.com/100044346</t>
  </si>
  <si>
    <t>2021-07-19T00:00:00</t>
  </si>
  <si>
    <t>http://lighttree.com/100044347</t>
  </si>
  <si>
    <t>http://lighttree.com/100044348</t>
  </si>
  <si>
    <t>COLA</t>
  </si>
  <si>
    <t>COLA - Los Alamos</t>
  </si>
  <si>
    <t>http://lighttree.com/100044325</t>
  </si>
  <si>
    <t>2021-08-02T00:00:00</t>
  </si>
  <si>
    <t>http://lighttree.com/100044326</t>
  </si>
  <si>
    <t>http://lighttree.com/100044327</t>
  </si>
  <si>
    <t>http://lighttree.com/100055006</t>
  </si>
  <si>
    <t>http://lighttree.com/100055008</t>
  </si>
  <si>
    <t>FAA</t>
  </si>
  <si>
    <t>FAA - Washington</t>
  </si>
  <si>
    <t>2021-08-31T00:00:00</t>
  </si>
  <si>
    <t>2021-09-06T00:00:00</t>
  </si>
  <si>
    <t>2021-09-03T00:00:00</t>
  </si>
  <si>
    <t>2021-09-07T00:00:00</t>
  </si>
  <si>
    <t>http://lighttree.com/100044323</t>
  </si>
  <si>
    <t>2021-08-19T00:00:00</t>
  </si>
  <si>
    <t>2021-08-22T00:00:00</t>
  </si>
  <si>
    <t>http://lighttree.com/100044324</t>
  </si>
  <si>
    <t>http://lighttree.com/100055010</t>
  </si>
  <si>
    <t>http://lighttree.com/100044322</t>
  </si>
  <si>
    <t>KYTC</t>
  </si>
  <si>
    <t>KYTC - Lexington</t>
  </si>
  <si>
    <t>2021-07-24T00:00:00</t>
  </si>
  <si>
    <t>http://lighttree.com/100044335</t>
  </si>
  <si>
    <t>2021-08-01T00:00:00</t>
  </si>
  <si>
    <t>http://lighttree.com/100044336</t>
  </si>
  <si>
    <t>http://lighttree.com/100044337</t>
  </si>
  <si>
    <t>INBOUND</t>
  </si>
  <si>
    <t>Flexilux</t>
  </si>
  <si>
    <t>Flexilux - Worcester</t>
  </si>
  <si>
    <t>http://lighttree.com/1000567212</t>
  </si>
  <si>
    <t>Interalloy</t>
  </si>
  <si>
    <t>Interalloy - Bozeman</t>
  </si>
  <si>
    <t>http://lighttree.com/1000567213</t>
  </si>
  <si>
    <t>Alumi-lux</t>
  </si>
  <si>
    <t>Alumi-lux - Nashua</t>
  </si>
  <si>
    <t>2021-07-22T00:00:00</t>
  </si>
  <si>
    <t>http://lighttree.com/1000567215</t>
  </si>
  <si>
    <t>EM</t>
  </si>
  <si>
    <t>EM - Hemphill</t>
  </si>
  <si>
    <t>http://lighttree.com/1000567217</t>
  </si>
  <si>
    <t>Thermal</t>
  </si>
  <si>
    <t>Thermal - Cincinnati</t>
  </si>
  <si>
    <t>2021-06-16T00:00:00</t>
  </si>
  <si>
    <t>2021-06-23T00:00:00</t>
  </si>
  <si>
    <t>2021-06-27T00:00:00</t>
  </si>
  <si>
    <t>http://lighttree.com/1000567229</t>
  </si>
  <si>
    <t>Amos</t>
  </si>
  <si>
    <t>Amos - Philadelphia</t>
  </si>
  <si>
    <t>http://lighttree.com/1000567234</t>
  </si>
  <si>
    <t>http://lighttree.com/1000567240</t>
  </si>
  <si>
    <t>http://lighttree.com/1000567241</t>
  </si>
  <si>
    <t>http://lighttree.com/1000567244</t>
  </si>
  <si>
    <t>SA</t>
  </si>
  <si>
    <t>SA - Loretto</t>
  </si>
  <si>
    <t>http://lighttree.com/1000567248</t>
  </si>
  <si>
    <t>SilverOptics</t>
  </si>
  <si>
    <t>SilverOptics - Dover</t>
  </si>
  <si>
    <t>http://lighttree.com/1000567251</t>
  </si>
  <si>
    <t>Brewers</t>
  </si>
  <si>
    <t>Brewers - Phoenix</t>
  </si>
  <si>
    <t>http://lighttree.com/1000567254</t>
  </si>
  <si>
    <t>Ripley</t>
  </si>
  <si>
    <t>Ripley - Trenton</t>
  </si>
  <si>
    <t>http://lighttree.com/1000567255</t>
  </si>
  <si>
    <t>http://lighttree.com/1000567262</t>
  </si>
  <si>
    <t>http://lighttree.com/1000567264</t>
  </si>
  <si>
    <t>http://lighttree.com/1000567268</t>
  </si>
  <si>
    <t>http://lighttree.com/1000567286</t>
  </si>
  <si>
    <t>Mueller</t>
  </si>
  <si>
    <t>Mueller - Pittsburgh</t>
  </si>
  <si>
    <t>http://lighttree.com/1000567287</t>
  </si>
  <si>
    <t>2021-06-29T00:00:00</t>
  </si>
  <si>
    <t>2021-07-06T00:00:00</t>
  </si>
  <si>
    <t>2021-07-10T00:00:00</t>
  </si>
  <si>
    <t>2021-07-14T00:00:00</t>
  </si>
  <si>
    <t>http://lighttree.com/1000567294</t>
  </si>
  <si>
    <t>http://lighttree.com/1000567306</t>
  </si>
  <si>
    <t>F &amp; M</t>
  </si>
  <si>
    <t>F &amp; M - Columbus</t>
  </si>
  <si>
    <t>http://lighttree.com/1000567310</t>
  </si>
  <si>
    <t>Hardy</t>
  </si>
  <si>
    <t>Hardy - Salina</t>
  </si>
  <si>
    <t>http://lighttree.com/1000567311</t>
  </si>
  <si>
    <t>http://lighttree.com/1000567313</t>
  </si>
  <si>
    <t>http://lighttree.com/1000567318</t>
  </si>
  <si>
    <t>http://lighttree.com/1000567320</t>
  </si>
  <si>
    <t>R&amp;J</t>
  </si>
  <si>
    <t>R&amp;J - Vancouver</t>
  </si>
  <si>
    <t>http://lighttree.com/1000567323</t>
  </si>
  <si>
    <t>McGrey</t>
  </si>
  <si>
    <t>McGrey - Mt Sterling</t>
  </si>
  <si>
    <t>http://lighttree.com/1000567324</t>
  </si>
  <si>
    <t>http://lighttree.com/1000567325</t>
  </si>
  <si>
    <t>http://lighttree.com/1000567326</t>
  </si>
  <si>
    <t>http://lighttree.com/1000567332</t>
  </si>
  <si>
    <t>http://lighttree.com/1000567334</t>
  </si>
  <si>
    <t>LightLens</t>
  </si>
  <si>
    <t xml:space="preserve">LightLens - Ipswich </t>
  </si>
  <si>
    <t>http://lighttree.com/1000567335</t>
  </si>
  <si>
    <t>http://lighttree.com/1000567338</t>
  </si>
  <si>
    <t>2021-07-21T00:00:00</t>
  </si>
  <si>
    <t>http://lighttree.com/1000567340</t>
  </si>
  <si>
    <t>http://lighttree.com/1000567342</t>
  </si>
  <si>
    <t>http://lighttree.com/1000567349</t>
  </si>
  <si>
    <t>http://lighttree.com/1000567350</t>
  </si>
  <si>
    <t>http://lighttree.com/1000567353</t>
  </si>
  <si>
    <t>Gemini</t>
  </si>
  <si>
    <t>Gemini - Dallas</t>
  </si>
  <si>
    <t>http://lighttree.com/1000567356</t>
  </si>
  <si>
    <t>http://lighttree.com/1000567363</t>
  </si>
  <si>
    <t>http://lighttree.com/1000567365</t>
  </si>
  <si>
    <t>http://lighttree.com/1000567367</t>
  </si>
  <si>
    <t>http://lighttree.com/1000567369</t>
  </si>
  <si>
    <t>http://lighttree.com/1000567370</t>
  </si>
  <si>
    <t>http://lighttree.com/1000567371</t>
  </si>
  <si>
    <t>http://lighttree.com/1000567382</t>
  </si>
  <si>
    <t>Total Source</t>
  </si>
  <si>
    <t>Total Source - Waukesha</t>
  </si>
  <si>
    <t>http://lighttree.com/1000567388</t>
  </si>
  <si>
    <t>2021-07-25T00:00:00</t>
  </si>
  <si>
    <t>http://lighttree.com/1000567391</t>
  </si>
  <si>
    <t>http://lighttree.com/1000567394</t>
  </si>
  <si>
    <t>http://lighttree.com/1000567402</t>
  </si>
  <si>
    <t>http://lighttree.com/1000567403</t>
  </si>
  <si>
    <t>http://lighttree.com/1000567407</t>
  </si>
  <si>
    <t>http://lighttree.com/1000567409</t>
  </si>
  <si>
    <t>http://lighttree.com/1000567411</t>
  </si>
  <si>
    <t>http://lighttree.com/1000567414</t>
  </si>
  <si>
    <t>http://lighttree.com/1000567418</t>
  </si>
  <si>
    <t>http://lighttree.com/1000567420</t>
  </si>
  <si>
    <t>RLP</t>
  </si>
  <si>
    <t>RLP - Troy</t>
  </si>
  <si>
    <t>http://lighttree.com/1000567421</t>
  </si>
  <si>
    <t>http://lighttree.com/1000567422</t>
  </si>
  <si>
    <t>http://lighttree.com/1000567429</t>
  </si>
  <si>
    <t>http://lighttree.com/1000567432</t>
  </si>
  <si>
    <t>http://lighttree.com/1000567434</t>
  </si>
  <si>
    <t>http://lighttree.com/1000567435</t>
  </si>
  <si>
    <t>http://lighttree.com/1000567437</t>
  </si>
  <si>
    <t>http://lighttree.com/1000567443</t>
  </si>
  <si>
    <t>http://lighttree.com/1000567446</t>
  </si>
  <si>
    <t>2021-06-25T00:00:00</t>
  </si>
  <si>
    <t>http://lighttree.com/1000567448</t>
  </si>
  <si>
    <t>http://lighttree.com/1000567450</t>
  </si>
  <si>
    <t>http://lighttree.com/1000567460</t>
  </si>
  <si>
    <t>http://lighttree.com/1000567462</t>
  </si>
  <si>
    <t>http://lighttree.com/1000567463</t>
  </si>
  <si>
    <t>http://lighttree.com/1000567467</t>
  </si>
  <si>
    <t>http://lighttree.com/1000567470</t>
  </si>
  <si>
    <t>2021-06-26T00:00:00</t>
  </si>
  <si>
    <t>http://lighttree.com/1000567471</t>
  </si>
  <si>
    <t>http://lighttree.com/1000567474</t>
  </si>
  <si>
    <t>http://lighttree.com/1000567475</t>
  </si>
  <si>
    <t>http://lighttree.com/1000567479</t>
  </si>
  <si>
    <t>2021-07-16T00:00:00</t>
  </si>
  <si>
    <t>2021-07-18T00:00:00</t>
  </si>
  <si>
    <t>http://lighttree.com/1000567482</t>
  </si>
  <si>
    <t>http://lighttree.com/1000567486</t>
  </si>
  <si>
    <t>http://lighttree.com/1000567494</t>
  </si>
  <si>
    <t>http://lighttree.com/1000567497</t>
  </si>
  <si>
    <t>http://lighttree.com/1000567500</t>
  </si>
  <si>
    <t>2021-07-01T00:00:00</t>
  </si>
  <si>
    <t>2021-08-04T00:00:00</t>
  </si>
  <si>
    <t>2021-08-07T00:00:00</t>
  </si>
  <si>
    <t>2021-08-17T00:00:00</t>
  </si>
  <si>
    <t>2021-08-24T00:00:00</t>
  </si>
  <si>
    <t>2021-08-27T00:00:00</t>
  </si>
  <si>
    <t>2021-09-04T00:00:00</t>
  </si>
  <si>
    <t>2021-09-13T00:00:00</t>
  </si>
  <si>
    <t>2021-09-16T00:00:00</t>
  </si>
  <si>
    <t>2021-09-09T00:00:00</t>
  </si>
  <si>
    <t>2021-09-12T00:00:00</t>
  </si>
  <si>
    <t>http://lighttree.com/100055004</t>
  </si>
  <si>
    <t>2021-09-23T00:00:00</t>
  </si>
  <si>
    <t>2021-09-26T00:00:00</t>
  </si>
  <si>
    <t>http://lighttree.com/100055011</t>
  </si>
  <si>
    <t>http://lighttree.com/1000567200</t>
  </si>
  <si>
    <t>http://lighttree.com/1000567204</t>
  </si>
  <si>
    <t>http://lighttree.com/1000567205</t>
  </si>
  <si>
    <t>http://lighttree.com/1000567207</t>
  </si>
  <si>
    <t>http://lighttree.com/1000567209</t>
  </si>
  <si>
    <t>http://lighttree.com/1000567210</t>
  </si>
  <si>
    <t>http://lighttree.com/1000567218</t>
  </si>
  <si>
    <t>http://lighttree.com/1000567227</t>
  </si>
  <si>
    <t>http://lighttree.com/1000567228</t>
  </si>
  <si>
    <t>2021-06-24T00:00:00</t>
  </si>
  <si>
    <t>http://lighttree.com/1000567230</t>
  </si>
  <si>
    <t>http://lighttree.com/1000567231</t>
  </si>
  <si>
    <t>http://lighttree.com/1000567232</t>
  </si>
  <si>
    <t>2021-07-04T00:00:00</t>
  </si>
  <si>
    <t>http://lighttree.com/1000567238</t>
  </si>
  <si>
    <t>Luminar</t>
  </si>
  <si>
    <t>Luminar - Palm Beach Gardens</t>
  </si>
  <si>
    <t>http://lighttree.com/1000567242</t>
  </si>
  <si>
    <t>http://lighttree.com/1000567256</t>
  </si>
  <si>
    <t>http://lighttree.com/1000567257</t>
  </si>
  <si>
    <t>http://lighttree.com/1000567259</t>
  </si>
  <si>
    <t>http://lighttree.com/1000567261</t>
  </si>
  <si>
    <t>http://lighttree.com/1000567266</t>
  </si>
  <si>
    <t>http://lighttree.com/1000567274</t>
  </si>
  <si>
    <t>http://lighttree.com/1000567276</t>
  </si>
  <si>
    <t>http://lighttree.com/1000567278</t>
  </si>
  <si>
    <t>http://lighttree.com/1000567279</t>
  </si>
  <si>
    <t>http://lighttree.com/1000567283</t>
  </si>
  <si>
    <t>http://lighttree.com/1000567291</t>
  </si>
  <si>
    <t>http://lighttree.com/1000567292</t>
  </si>
  <si>
    <t>http://lighttree.com/1000567295</t>
  </si>
  <si>
    <t>http://lighttree.com/1000567296</t>
  </si>
  <si>
    <t>http://lighttree.com/1000567308</t>
  </si>
  <si>
    <t>http://lighttree.com/1000567312</t>
  </si>
  <si>
    <t>http://lighttree.com/1000567314</t>
  </si>
  <si>
    <t>http://lighttree.com/1000567315</t>
  </si>
  <si>
    <t>http://lighttree.com/1000567319</t>
  </si>
  <si>
    <t>http://lighttree.com/1000567321</t>
  </si>
  <si>
    <t>http://lighttree.com/1000567327</t>
  </si>
  <si>
    <t>http://lighttree.com/1000567336</t>
  </si>
  <si>
    <t>http://lighttree.com/1000567346</t>
  </si>
  <si>
    <t>http://lighttree.com/1000567351</t>
  </si>
  <si>
    <t>http://lighttree.com/1000567364</t>
  </si>
  <si>
    <t>http://lighttree.com/1000567374</t>
  </si>
  <si>
    <t>http://lighttree.com/1000567376</t>
  </si>
  <si>
    <t>http://lighttree.com/1000567378</t>
  </si>
  <si>
    <t>http://lighttree.com/1000567383</t>
  </si>
  <si>
    <t>http://lighttree.com/1000567387</t>
  </si>
  <si>
    <t>http://lighttree.com/1000567392</t>
  </si>
  <si>
    <t>http://lighttree.com/1000567397</t>
  </si>
  <si>
    <t>http://lighttree.com/1000567399</t>
  </si>
  <si>
    <t>http://lighttree.com/1000567405</t>
  </si>
  <si>
    <t>http://lighttree.com/1000567415</t>
  </si>
  <si>
    <t>http://lighttree.com/1000567416</t>
  </si>
  <si>
    <t>http://lighttree.com/1000567417</t>
  </si>
  <si>
    <t>http://lighttree.com/1000567419</t>
  </si>
  <si>
    <t>http://lighttree.com/1000567423</t>
  </si>
  <si>
    <t>http://lighttree.com/1000567424</t>
  </si>
  <si>
    <t>http://lighttree.com/1000567425</t>
  </si>
  <si>
    <t>http://lighttree.com/1000567428</t>
  </si>
  <si>
    <t>http://lighttree.com/1000567430</t>
  </si>
  <si>
    <t>http://lighttree.com/1000567438</t>
  </si>
  <si>
    <t>http://lighttree.com/1000567442</t>
  </si>
  <si>
    <t>http://lighttree.com/1000567449</t>
  </si>
  <si>
    <t>http://lighttree.com/1000567451</t>
  </si>
  <si>
    <t>http://lighttree.com/1000567459</t>
  </si>
  <si>
    <t>http://lighttree.com/1000567461</t>
  </si>
  <si>
    <t>http://lighttree.com/1000567464</t>
  </si>
  <si>
    <t>http://lighttree.com/1000567468</t>
  </si>
  <si>
    <t>http://lighttree.com/1000567473</t>
  </si>
  <si>
    <t>http://lighttree.com/1000567476</t>
  </si>
  <si>
    <t>http://lighttree.com/1000567477</t>
  </si>
  <si>
    <t>http://lighttree.com/1000567478</t>
  </si>
  <si>
    <t>http://lighttree.com/1000567481</t>
  </si>
  <si>
    <t>http://lighttree.com/1000567483</t>
  </si>
  <si>
    <t>http://lighttree.com/1000567484</t>
  </si>
  <si>
    <t>http://lighttree.com/1000567490</t>
  </si>
  <si>
    <t>http://lighttree.com/1000567495</t>
  </si>
  <si>
    <t>MAHD</t>
  </si>
  <si>
    <t>MAHD - Boston</t>
  </si>
  <si>
    <t>http://lighttree.com/100044333</t>
  </si>
  <si>
    <t>http://lighttree.com/100044334</t>
  </si>
  <si>
    <t>NYDOT</t>
  </si>
  <si>
    <t>NYDOT - New Rochelle</t>
  </si>
  <si>
    <t>2021-06-15T00:00:00</t>
  </si>
  <si>
    <t>http://lighttree.com/100044338</t>
  </si>
  <si>
    <t>http://lighttree.com/100044339</t>
  </si>
  <si>
    <t>http://lighttree.com/100044340</t>
  </si>
  <si>
    <t>http://lighttree.com/100044341</t>
  </si>
  <si>
    <t>http://lighttree.com/100044342</t>
  </si>
  <si>
    <t>QPWD</t>
  </si>
  <si>
    <t>QPWD - Ville de Québec</t>
  </si>
  <si>
    <t>2021-07-29T00:00:00</t>
  </si>
  <si>
    <t>http://lighttree.com/100044328</t>
  </si>
  <si>
    <t>http://lighttree.com/100044329</t>
  </si>
  <si>
    <t>http://lighttree.com/100044330</t>
  </si>
  <si>
    <t>http://lighttree.com/100044331</t>
  </si>
  <si>
    <t>2021-08-21T00:00:00</t>
  </si>
  <si>
    <t>http://lighttree.com/100044332</t>
  </si>
  <si>
    <t>Etiquetas de fila</t>
  </si>
  <si>
    <t>Total general</t>
  </si>
  <si>
    <t>Suma de totalValue</t>
  </si>
  <si>
    <t>Promedio de quantity</t>
  </si>
  <si>
    <t>publicName</t>
  </si>
  <si>
    <t>creationDate</t>
  </si>
  <si>
    <t>Apex Highway Technologies Division</t>
  </si>
  <si>
    <t>CalTranscend Systems</t>
  </si>
  <si>
    <t>Core Logistics Alliance</t>
  </si>
  <si>
    <t>Flight Axis Authority</t>
  </si>
  <si>
    <t>Kinetic Transit Core</t>
  </si>
  <si>
    <t>LightTree Innovations</t>
  </si>
  <si>
    <t>Meridian Advanced Highway Division</t>
  </si>
  <si>
    <t>New York Digital Operations Transit</t>
  </si>
  <si>
    <t>PublicName</t>
  </si>
  <si>
    <t>CAT</t>
  </si>
  <si>
    <t>Gatos asociados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</si>
</sst>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18.88010775463" createdVersion="8" refreshedVersion="8" minRefreshableVersion="3" recordCount="214" xr:uid="{D60E3760-D32D-4256-B656-6806603CB019}">
  <cacheSource type="worksheet">
    <worksheetSource ref="A1:W215" sheet="Ordenes"/>
  </cacheSource>
  <cacheFields count="22">
    <cacheField name="orderIdentifier" numFmtId="0">
      <sharedItems containsSemiMixedTypes="0" containsString="0" containsNumber="1" containsInteger="1" minValue="100044322" maxValue="1000567500" count="214">
        <n v="100044349"/>
        <n v="100044350"/>
        <n v="100044353"/>
        <n v="100055001"/>
        <n v="100055003"/>
        <n v="100044351"/>
        <n v="100044352"/>
        <n v="100044354"/>
        <n v="100044355"/>
        <n v="100044343"/>
        <n v="100044344"/>
        <n v="100055000"/>
        <n v="100055002"/>
        <n v="100055005"/>
        <n v="100055007"/>
        <n v="100055009"/>
        <n v="100044345"/>
        <n v="100044346"/>
        <n v="100044347"/>
        <n v="100044348"/>
        <n v="100044325"/>
        <n v="100044326"/>
        <n v="100044327"/>
        <n v="100055006"/>
        <n v="100055008"/>
        <n v="100044323"/>
        <n v="100044324"/>
        <n v="100055010"/>
        <n v="100044322"/>
        <n v="100044335"/>
        <n v="100044336"/>
        <n v="100044337"/>
        <n v="1000567212"/>
        <n v="1000567213"/>
        <n v="1000567215"/>
        <n v="1000567217"/>
        <n v="1000567229"/>
        <n v="1000567234"/>
        <n v="1000567240"/>
        <n v="1000567241"/>
        <n v="1000567244"/>
        <n v="1000567248"/>
        <n v="1000567251"/>
        <n v="1000567254"/>
        <n v="1000567255"/>
        <n v="1000567262"/>
        <n v="1000567264"/>
        <n v="1000567268"/>
        <n v="1000567286"/>
        <n v="1000567287"/>
        <n v="1000567294"/>
        <n v="1000567306"/>
        <n v="1000567310"/>
        <n v="1000567311"/>
        <n v="1000567313"/>
        <n v="1000567318"/>
        <n v="1000567320"/>
        <n v="1000567323"/>
        <n v="1000567324"/>
        <n v="1000567325"/>
        <n v="1000567326"/>
        <n v="1000567332"/>
        <n v="1000567334"/>
        <n v="1000567335"/>
        <n v="1000567338"/>
        <n v="1000567340"/>
        <n v="1000567342"/>
        <n v="1000567349"/>
        <n v="1000567350"/>
        <n v="1000567353"/>
        <n v="1000567356"/>
        <n v="1000567363"/>
        <n v="1000567365"/>
        <n v="1000567367"/>
        <n v="1000567369"/>
        <n v="1000567370"/>
        <n v="1000567371"/>
        <n v="1000567382"/>
        <n v="1000567388"/>
        <n v="1000567391"/>
        <n v="1000567394"/>
        <n v="1000567402"/>
        <n v="1000567403"/>
        <n v="1000567407"/>
        <n v="1000567409"/>
        <n v="1000567411"/>
        <n v="1000567414"/>
        <n v="1000567418"/>
        <n v="1000567420"/>
        <n v="1000567421"/>
        <n v="1000567422"/>
        <n v="1000567429"/>
        <n v="1000567432"/>
        <n v="1000567434"/>
        <n v="1000567435"/>
        <n v="1000567437"/>
        <n v="1000567443"/>
        <n v="1000567446"/>
        <n v="1000567448"/>
        <n v="1000567450"/>
        <n v="1000567460"/>
        <n v="1000567462"/>
        <n v="1000567463"/>
        <n v="1000567467"/>
        <n v="1000567470"/>
        <n v="1000567471"/>
        <n v="1000567474"/>
        <n v="1000567475"/>
        <n v="1000567479"/>
        <n v="1000567482"/>
        <n v="1000567486"/>
        <n v="1000567494"/>
        <n v="1000567497"/>
        <n v="1000567500"/>
        <n v="1000066000"/>
        <n v="1000066001"/>
        <n v="1000066002"/>
        <n v="1000066003"/>
        <n v="1000066004"/>
        <n v="1000066005"/>
        <n v="1000066006"/>
        <n v="1000066007"/>
        <n v="1000066008"/>
        <n v="1000066009"/>
        <n v="1000066010"/>
        <n v="1000066011"/>
        <n v="1000567200"/>
        <n v="1000567204"/>
        <n v="1000567205"/>
        <n v="1000567207"/>
        <n v="1000567209"/>
        <n v="1000567210"/>
        <n v="1000567218"/>
        <n v="1000567227"/>
        <n v="1000567228"/>
        <n v="1000567230"/>
        <n v="1000567231"/>
        <n v="1000567232"/>
        <n v="1000567238"/>
        <n v="1000567242"/>
        <n v="1000567256"/>
        <n v="1000567257"/>
        <n v="1000567259"/>
        <n v="1000567261"/>
        <n v="1000567266"/>
        <n v="1000567274"/>
        <n v="1000567276"/>
        <n v="1000567278"/>
        <n v="1000567279"/>
        <n v="1000567283"/>
        <n v="1000567291"/>
        <n v="1000567292"/>
        <n v="1000567295"/>
        <n v="1000567296"/>
        <n v="1000567308"/>
        <n v="1000567312"/>
        <n v="1000567314"/>
        <n v="1000567315"/>
        <n v="1000567319"/>
        <n v="1000567321"/>
        <n v="1000567327"/>
        <n v="1000567336"/>
        <n v="1000567346"/>
        <n v="1000567351"/>
        <n v="1000567364"/>
        <n v="1000567374"/>
        <n v="1000567376"/>
        <n v="1000567378"/>
        <n v="1000567383"/>
        <n v="1000567387"/>
        <n v="1000567392"/>
        <n v="1000567397"/>
        <n v="1000567399"/>
        <n v="1000567405"/>
        <n v="1000567415"/>
        <n v="1000567416"/>
        <n v="1000567417"/>
        <n v="1000567419"/>
        <n v="1000567423"/>
        <n v="1000567424"/>
        <n v="1000567425"/>
        <n v="1000567428"/>
        <n v="1000567430"/>
        <n v="1000567438"/>
        <n v="1000567442"/>
        <n v="1000567449"/>
        <n v="1000567451"/>
        <n v="1000567459"/>
        <n v="1000567461"/>
        <n v="1000567464"/>
        <n v="1000567468"/>
        <n v="1000567473"/>
        <n v="1000567476"/>
        <n v="1000567477"/>
        <n v="1000567478"/>
        <n v="1000567481"/>
        <n v="1000567483"/>
        <n v="1000567484"/>
        <n v="1000567490"/>
        <n v="1000567495"/>
        <n v="100044333"/>
        <n v="100044334"/>
        <n v="100044338"/>
        <n v="100044339"/>
        <n v="100044340"/>
        <n v="100044341"/>
        <n v="100044342"/>
        <n v="100044328"/>
        <n v="100044329"/>
        <n v="100044330"/>
        <n v="100044331"/>
        <n v="100044332"/>
        <n v="100055004"/>
        <n v="100055011"/>
      </sharedItems>
    </cacheField>
    <cacheField name="orderType" numFmtId="0">
      <sharedItems count="2">
        <s v="OUTBOUND"/>
        <s v="INBOUND"/>
      </sharedItems>
    </cacheField>
    <cacheField name="vendor.organizationIdentifier" numFmtId="0">
      <sharedItems count="21">
        <s v="LightTree"/>
        <s v="Flexilux"/>
        <s v="Interalloy"/>
        <s v="Alumi-lux"/>
        <s v="EM"/>
        <s v="Thermal"/>
        <s v="Amos"/>
        <s v="SA"/>
        <s v="SilverOptics"/>
        <s v="Brewers"/>
        <s v="Ripley"/>
        <s v="Mueller"/>
        <s v="F &amp; M"/>
        <s v="Hardy"/>
        <s v="R&amp;J"/>
        <s v="McGrey"/>
        <s v="LightLens"/>
        <s v="Gemini"/>
        <s v="Total Source"/>
        <s v="RLP"/>
        <s v="Luminar"/>
      </sharedItems>
    </cacheField>
    <cacheField name="buyer.organizationIdentifier" numFmtId="0">
      <sharedItems count="9">
        <s v="AHTD"/>
        <s v="CALTRAN"/>
        <s v="COLA"/>
        <s v="FAA"/>
        <s v="KYTC"/>
        <s v="LightTree"/>
        <s v="MAHD"/>
        <s v="NYDOT"/>
        <s v="QPWD"/>
      </sharedItems>
    </cacheField>
    <cacheField name="shipFromInstructionLocation.locationIdentifier" numFmtId="0">
      <sharedItems/>
    </cacheField>
    <cacheField name="shipToLocation.locationIdentifier" numFmtId="0">
      <sharedItems/>
    </cacheField>
    <cacheField name="orderStatus" numFmtId="0">
      <sharedItems containsNonDate="0" containsString="0" containsBlank="1" count="1">
        <m/>
      </sharedItems>
    </cacheField>
    <cacheField name="createdDate" numFmtId="0">
      <sharedItems/>
    </cacheField>
    <cacheField name="requestedShipDate" numFmtId="0">
      <sharedItems/>
    </cacheField>
    <cacheField name="requestedDeliveryDate" numFmtId="0">
      <sharedItems/>
    </cacheField>
    <cacheField name="plannedShipDate" numFmtId="0">
      <sharedItems containsBlank="1"/>
    </cacheField>
    <cacheField name="plannedDeliveryDate" numFmtId="0">
      <sharedItems containsBlank="1"/>
    </cacheField>
    <cacheField name="quantity" numFmtId="0">
      <sharedItems containsSemiMixedTypes="0" containsString="0" containsNumber="1" containsInteger="1" minValue="4" maxValue="1400"/>
    </cacheField>
    <cacheField name="quantityUnits" numFmtId="0">
      <sharedItems/>
    </cacheField>
    <cacheField name="totalValue" numFmtId="0">
      <sharedItems containsSemiMixedTypes="0" containsString="0" containsNumber="1" containsInteger="1" minValue="132" maxValue="1769600"/>
    </cacheField>
    <cacheField name="orderValueCurrency" numFmtId="0">
      <sharedItems/>
    </cacheField>
    <cacheField name="lineCount" numFmtId="0">
      <sharedItems containsSemiMixedTypes="0" containsString="0" containsNumber="1" containsInteger="1" minValue="1" maxValue="4"/>
    </cacheField>
    <cacheField name="totalShippedQuantity" numFmtId="0">
      <sharedItems containsNonDate="0" containsString="0" containsBlank="1"/>
    </cacheField>
    <cacheField name="exclude" numFmtId="0">
      <sharedItems containsNonDate="0" containsString="0" containsBlank="1"/>
    </cacheField>
    <cacheField name="sourceLink" numFmtId="0">
      <sharedItems/>
    </cacheField>
    <cacheField name="precio_unitario" numFmtId="0">
      <sharedItems containsSemiMixedTypes="0" containsString="0" containsNumber="1" minValue="3" maxValue="5530"/>
    </cacheField>
    <cacheField name="precio_unitario_iva" numFmtId="0">
      <sharedItems containsSemiMixedTypes="0" containsString="0" containsNumber="1" minValue="3.57" maxValue="658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x v="0"/>
    <x v="0"/>
    <s v="LT-1"/>
    <s v="AHTD - Bentonville"/>
    <x v="0"/>
    <s v="2021-06-08T00:00:00"/>
    <s v="2021-07-20T00:00:00"/>
    <s v="2021-07-30T00:00:00"/>
    <s v="2021-07-23T00:00:00"/>
    <s v="2021-07-30T00:00:00"/>
    <n v="189"/>
    <s v="EA"/>
    <n v="236250"/>
    <s v="USD"/>
    <n v="3"/>
    <m/>
    <m/>
    <s v="http://lighttree.com/100044349"/>
    <n v="1250"/>
    <n v="1487.5"/>
  </r>
  <r>
    <x v="1"/>
    <x v="0"/>
    <x v="0"/>
    <x v="0"/>
    <s v="LT-1"/>
    <s v="AHTD - Bentonville"/>
    <x v="0"/>
    <s v="2021-06-08T00:00:00"/>
    <s v="2021-07-23T00:00:00"/>
    <s v="2021-07-30T00:00:00"/>
    <s v="2021-07-23T00:00:00"/>
    <s v="2021-07-30T00:00:00"/>
    <n v="20"/>
    <s v="EA"/>
    <n v="25000"/>
    <s v="USD"/>
    <n v="3"/>
    <m/>
    <m/>
    <s v="http://lighttree.com/100044350"/>
    <n v="1250"/>
    <n v="1487.5"/>
  </r>
  <r>
    <x v="2"/>
    <x v="0"/>
    <x v="0"/>
    <x v="0"/>
    <s v="LT-1"/>
    <s v="AHTD - Bentonville"/>
    <x v="0"/>
    <s v="2021-06-08T00:00:00"/>
    <s v="2021-07-13T00:00:00"/>
    <s v="2021-07-30T00:00:00"/>
    <s v="2021-07-23T00:00:00"/>
    <s v="2021-07-30T00:00:00"/>
    <n v="212"/>
    <s v="EA"/>
    <n v="265000"/>
    <s v="USD"/>
    <n v="3"/>
    <m/>
    <m/>
    <s v="http://lighttree.com/100044353"/>
    <n v="1250"/>
    <n v="1487.5"/>
  </r>
  <r>
    <x v="3"/>
    <x v="0"/>
    <x v="0"/>
    <x v="0"/>
    <s v="LT-2"/>
    <s v="AHTD - Bentonville"/>
    <x v="0"/>
    <s v="2017-07-11T00:00:00"/>
    <s v="2021-08-10T00:00:00"/>
    <s v="2021-08-18T00:00:00"/>
    <s v="2021-08-10T00:00:00"/>
    <s v="2021-08-18T00:00:00"/>
    <n v="761"/>
    <s v="EA"/>
    <n v="59473"/>
    <s v="USD"/>
    <n v="3"/>
    <m/>
    <m/>
    <s v="http://lighttree.com/100055001"/>
    <n v="78.151116951379763"/>
    <n v="92.999829172141915"/>
  </r>
  <r>
    <x v="4"/>
    <x v="0"/>
    <x v="0"/>
    <x v="0"/>
    <s v="LT-2"/>
    <s v="AHTD - Bentonville"/>
    <x v="0"/>
    <s v="2017-07-20T00:00:00"/>
    <s v="2021-08-11T00:00:00"/>
    <s v="2021-08-14T00:00:00"/>
    <s v="2021-08-11T00:00:00"/>
    <s v="2021-08-14T00:00:00"/>
    <n v="520"/>
    <s v="EA"/>
    <n v="47438"/>
    <s v="USD"/>
    <n v="3"/>
    <m/>
    <m/>
    <s v="http://lighttree.com/100055003"/>
    <n v="91.226923076923072"/>
    <n v="108.5600384615385"/>
  </r>
  <r>
    <x v="5"/>
    <x v="0"/>
    <x v="0"/>
    <x v="0"/>
    <s v="LT-1"/>
    <s v="AHTD - Bentonville"/>
    <x v="0"/>
    <s v="2021-06-08T00:00:00"/>
    <s v="2021-07-08T00:00:00"/>
    <s v="2021-07-15T00:00:00"/>
    <s v="2021-07-08T00:00:00"/>
    <s v="2021-07-15T00:00:00"/>
    <n v="68"/>
    <s v="EA"/>
    <n v="85000"/>
    <s v="USD"/>
    <n v="3"/>
    <m/>
    <m/>
    <s v="http://lighttree.com/100044351"/>
    <n v="1250"/>
    <n v="1487.5"/>
  </r>
  <r>
    <x v="6"/>
    <x v="0"/>
    <x v="0"/>
    <x v="0"/>
    <s v="LT-1"/>
    <s v="AHTD - Bentonville"/>
    <x v="0"/>
    <s v="2021-06-08T00:00:00"/>
    <s v="2021-07-08T00:00:00"/>
    <s v="2021-07-15T00:00:00"/>
    <s v="2021-07-08T00:00:00"/>
    <s v="2021-07-17T00:00:00"/>
    <n v="74"/>
    <s v="EA"/>
    <n v="92500"/>
    <s v="USD"/>
    <n v="3"/>
    <m/>
    <m/>
    <s v="http://lighttree.com/100044352"/>
    <n v="1250"/>
    <n v="1487.5"/>
  </r>
  <r>
    <x v="7"/>
    <x v="0"/>
    <x v="0"/>
    <x v="0"/>
    <s v="LT-1"/>
    <s v="AHTD - Bentonville"/>
    <x v="0"/>
    <s v="2021-06-08T00:00:00"/>
    <s v="2021-06-30T00:00:00"/>
    <s v="2021-07-07T00:00:00"/>
    <s v="2021-06-30T00:00:00"/>
    <s v="2021-07-07T00:00:00"/>
    <n v="208"/>
    <s v="EA"/>
    <n v="260000"/>
    <s v="USD"/>
    <n v="3"/>
    <m/>
    <m/>
    <s v="http://lighttree.com/100044354"/>
    <n v="1250"/>
    <n v="1487.5"/>
  </r>
  <r>
    <x v="8"/>
    <x v="0"/>
    <x v="0"/>
    <x v="0"/>
    <s v="LT-1"/>
    <s v="AHTD - Bentonville"/>
    <x v="0"/>
    <s v="2021-06-08T00:00:00"/>
    <s v="2021-06-30T00:00:00"/>
    <s v="2021-07-07T00:00:00"/>
    <s v="2021-06-30T00:00:00"/>
    <s v="2021-07-07T00:00:00"/>
    <n v="400"/>
    <s v="EA"/>
    <n v="500000"/>
    <s v="USD"/>
    <n v="3"/>
    <m/>
    <m/>
    <s v="http://lighttree.com/100044355"/>
    <n v="1250"/>
    <n v="1487.5"/>
  </r>
  <r>
    <x v="9"/>
    <x v="0"/>
    <x v="0"/>
    <x v="1"/>
    <s v="LT-1"/>
    <s v="CALTRAN - San Diego"/>
    <x v="0"/>
    <s v="2021-06-11T00:00:00"/>
    <s v="2021-07-26T00:00:00"/>
    <s v="2021-08-03T00:00:00"/>
    <s v="2021-07-26T00:00:00"/>
    <s v="2021-08-03T00:00:00"/>
    <n v="22"/>
    <s v="EA"/>
    <n v="27500"/>
    <s v="USD"/>
    <n v="3"/>
    <m/>
    <m/>
    <s v="http://lighttree.com/100044343"/>
    <n v="1250"/>
    <n v="1487.5"/>
  </r>
  <r>
    <x v="10"/>
    <x v="0"/>
    <x v="0"/>
    <x v="1"/>
    <s v="LT-1"/>
    <s v="CALTRAN - San Diego"/>
    <x v="0"/>
    <s v="2021-06-11T00:00:00"/>
    <s v="2021-07-28T00:00:00"/>
    <s v="2021-08-03T00:00:00"/>
    <s v="2021-07-26T00:00:00"/>
    <s v="2021-08-03T00:00:00"/>
    <n v="302"/>
    <s v="EA"/>
    <n v="377500"/>
    <s v="USD"/>
    <n v="3"/>
    <m/>
    <m/>
    <s v="http://lighttree.com/100044344"/>
    <n v="1250"/>
    <n v="1487.5"/>
  </r>
  <r>
    <x v="11"/>
    <x v="0"/>
    <x v="0"/>
    <x v="1"/>
    <s v="LT-2"/>
    <s v="CALTRAN - San Diego"/>
    <x v="0"/>
    <s v="2017-07-20T00:00:00"/>
    <s v="2021-08-11T00:00:00"/>
    <s v="2021-08-14T00:00:00"/>
    <s v="2021-08-11T00:00:00"/>
    <s v="2021-08-14T00:00:00"/>
    <n v="228"/>
    <s v="EA"/>
    <n v="20084"/>
    <s v="USD"/>
    <n v="3"/>
    <m/>
    <m/>
    <s v="http://lighttree.com/100055000"/>
    <n v="88.087719298245617"/>
    <n v="104.8243859649123"/>
  </r>
  <r>
    <x v="12"/>
    <x v="0"/>
    <x v="0"/>
    <x v="1"/>
    <s v="LT-2"/>
    <s v="CALTRAN - San Diego"/>
    <x v="0"/>
    <s v="2017-07-07T00:00:00"/>
    <s v="2021-08-06T00:00:00"/>
    <s v="2021-08-12T00:00:00"/>
    <s v="2021-08-06T00:00:00"/>
    <s v="2021-08-12T00:00:00"/>
    <n v="363"/>
    <s v="EA"/>
    <n v="29093"/>
    <s v="USD"/>
    <n v="3"/>
    <m/>
    <m/>
    <s v="http://lighttree.com/100055002"/>
    <n v="80.146005509641867"/>
    <n v="95.373746556473819"/>
  </r>
  <r>
    <x v="13"/>
    <x v="0"/>
    <x v="0"/>
    <x v="1"/>
    <s v="LT-2"/>
    <s v="CALTRAN - San Diego"/>
    <x v="0"/>
    <s v="2017-07-07T00:00:00"/>
    <s v="2021-08-06T00:00:00"/>
    <s v="2021-08-12T00:00:00"/>
    <s v="2021-08-06T00:00:00"/>
    <s v="2021-08-12T00:00:00"/>
    <n v="154"/>
    <s v="EA"/>
    <n v="14735"/>
    <s v="USD"/>
    <n v="3"/>
    <m/>
    <m/>
    <s v="http://lighttree.com/100055005"/>
    <n v="95.681818181818187"/>
    <n v="113.86136363636361"/>
  </r>
  <r>
    <x v="14"/>
    <x v="0"/>
    <x v="0"/>
    <x v="1"/>
    <s v="LT-2"/>
    <s v="CALTRAN - San Diego"/>
    <x v="0"/>
    <s v="2017-07-11T00:00:00"/>
    <s v="2021-08-10T00:00:00"/>
    <s v="2021-08-18T00:00:00"/>
    <s v="2021-08-10T00:00:00"/>
    <s v="2021-08-18T00:00:00"/>
    <n v="655"/>
    <s v="EA"/>
    <n v="49240"/>
    <s v="USD"/>
    <n v="3"/>
    <m/>
    <m/>
    <s v="http://lighttree.com/100055007"/>
    <n v="75.175572519083971"/>
    <n v="89.458931297709924"/>
  </r>
  <r>
    <x v="15"/>
    <x v="0"/>
    <x v="0"/>
    <x v="1"/>
    <s v="LT-2"/>
    <s v="CALTRAN - San Diego"/>
    <x v="0"/>
    <s v="2017-07-07T00:00:00"/>
    <s v="2021-08-06T00:00:00"/>
    <s v="2021-08-12T00:00:00"/>
    <s v="2021-08-06T00:00:00"/>
    <s v="2021-08-12T00:00:00"/>
    <n v="761"/>
    <s v="EA"/>
    <n v="62681"/>
    <s v="USD"/>
    <n v="3"/>
    <m/>
    <m/>
    <s v="http://lighttree.com/100055009"/>
    <n v="82.366622864651774"/>
    <n v="98.016281208935609"/>
  </r>
  <r>
    <x v="16"/>
    <x v="0"/>
    <x v="0"/>
    <x v="1"/>
    <s v="LT-1"/>
    <s v="CALTRAN - San Diego"/>
    <x v="0"/>
    <s v="2021-06-11T00:00:00"/>
    <s v="2021-06-28T00:00:00"/>
    <s v="2021-07-11T00:00:00"/>
    <s v="2021-07-03T00:00:00"/>
    <s v="2021-07-11T00:00:00"/>
    <n v="22"/>
    <s v="EA"/>
    <n v="27500"/>
    <s v="USD"/>
    <n v="3"/>
    <m/>
    <m/>
    <s v="http://lighttree.com/100044345"/>
    <n v="1250"/>
    <n v="1487.5"/>
  </r>
  <r>
    <x v="17"/>
    <x v="0"/>
    <x v="0"/>
    <x v="1"/>
    <s v="LT-1"/>
    <s v="CALTRAN - San Diego"/>
    <x v="0"/>
    <s v="2021-06-11T00:00:00"/>
    <s v="2021-07-03T00:00:00"/>
    <s v="2021-07-11T00:00:00"/>
    <s v="2021-07-03T00:00:00"/>
    <s v="2021-07-11T00:00:00"/>
    <n v="59"/>
    <s v="EA"/>
    <n v="73750"/>
    <s v="USD"/>
    <n v="3"/>
    <m/>
    <m/>
    <s v="http://lighttree.com/100044346"/>
    <n v="1250"/>
    <n v="1487.5"/>
  </r>
  <r>
    <x v="18"/>
    <x v="0"/>
    <x v="0"/>
    <x v="1"/>
    <s v="LT-1"/>
    <s v="CALTRAN - San Diego"/>
    <x v="0"/>
    <s v="2021-06-11T00:00:00"/>
    <s v="2021-07-11T00:00:00"/>
    <s v="2021-07-19T00:00:00"/>
    <s v="2021-07-11T00:00:00"/>
    <s v="2021-07-19T00:00:00"/>
    <n v="645"/>
    <s v="EA"/>
    <n v="806250"/>
    <s v="USD"/>
    <n v="3"/>
    <m/>
    <m/>
    <s v="http://lighttree.com/100044347"/>
    <n v="1250"/>
    <n v="1487.5"/>
  </r>
  <r>
    <x v="19"/>
    <x v="0"/>
    <x v="0"/>
    <x v="1"/>
    <s v="LT-1"/>
    <s v="CALTRAN - San Diego"/>
    <x v="0"/>
    <s v="2021-06-11T00:00:00"/>
    <s v="2021-07-11T00:00:00"/>
    <s v="2021-07-19T00:00:00"/>
    <s v="2021-07-11T00:00:00"/>
    <s v="2021-07-19T00:00:00"/>
    <n v="54"/>
    <s v="EA"/>
    <n v="67500"/>
    <s v="USD"/>
    <n v="3"/>
    <m/>
    <m/>
    <s v="http://lighttree.com/100044348"/>
    <n v="1250"/>
    <n v="1487.5"/>
  </r>
  <r>
    <x v="20"/>
    <x v="0"/>
    <x v="0"/>
    <x v="2"/>
    <s v="LT-2"/>
    <s v="COLA - Los Alamos"/>
    <x v="0"/>
    <s v="2021-07-11T00:00:00"/>
    <s v="2021-08-10T00:00:00"/>
    <s v="2021-08-18T00:00:00"/>
    <s v="2021-08-10T00:00:00"/>
    <s v="2021-08-18T00:00:00"/>
    <n v="44"/>
    <s v="EA"/>
    <n v="55000"/>
    <s v="USD"/>
    <n v="3"/>
    <m/>
    <m/>
    <s v="http://lighttree.com/100044325"/>
    <n v="1250"/>
    <n v="1487.5"/>
  </r>
  <r>
    <x v="21"/>
    <x v="0"/>
    <x v="0"/>
    <x v="2"/>
    <s v="LT-2"/>
    <s v="COLA - Los Alamos"/>
    <x v="0"/>
    <s v="2021-07-11T00:00:00"/>
    <s v="2021-08-02T00:00:00"/>
    <s v="2021-08-10T00:00:00"/>
    <s v="2021-08-02T00:00:00"/>
    <s v="2021-08-10T00:00:00"/>
    <n v="12"/>
    <s v="EA"/>
    <n v="15000"/>
    <s v="USD"/>
    <n v="3"/>
    <m/>
    <m/>
    <s v="http://lighttree.com/100044326"/>
    <n v="1250"/>
    <n v="1487.5"/>
  </r>
  <r>
    <x v="22"/>
    <x v="0"/>
    <x v="0"/>
    <x v="2"/>
    <s v="LT-2"/>
    <s v="COLA - Los Alamos"/>
    <x v="0"/>
    <s v="2021-07-11T00:00:00"/>
    <s v="2021-08-02T00:00:00"/>
    <s v="2021-08-10T00:00:00"/>
    <s v="2021-08-02T00:00:00"/>
    <s v="2021-08-11T00:00:00"/>
    <n v="12"/>
    <s v="EA"/>
    <n v="15000"/>
    <s v="USD"/>
    <n v="3"/>
    <m/>
    <m/>
    <s v="http://lighttree.com/100044327"/>
    <n v="1250"/>
    <n v="1487.5"/>
  </r>
  <r>
    <x v="23"/>
    <x v="0"/>
    <x v="0"/>
    <x v="2"/>
    <s v="LT-2"/>
    <s v="COLA - Los Alamos"/>
    <x v="0"/>
    <s v="2017-07-20T00:00:00"/>
    <s v="2021-08-11T00:00:00"/>
    <s v="2021-08-14T00:00:00"/>
    <s v="2021-08-11T00:00:00"/>
    <s v="2021-08-14T00:00:00"/>
    <n v="259"/>
    <s v="EA"/>
    <n v="18536"/>
    <s v="USD"/>
    <n v="3"/>
    <m/>
    <m/>
    <s v="http://lighttree.com/100055006"/>
    <n v="71.567567567567565"/>
    <n v="85.165405405405394"/>
  </r>
  <r>
    <x v="24"/>
    <x v="0"/>
    <x v="0"/>
    <x v="2"/>
    <s v="LT-2"/>
    <s v="COLA - Los Alamos"/>
    <x v="0"/>
    <s v="2017-07-07T00:00:00"/>
    <s v="2021-08-06T00:00:00"/>
    <s v="2021-08-12T00:00:00"/>
    <s v="2021-08-06T00:00:00"/>
    <s v="2021-08-12T00:00:00"/>
    <n v="228"/>
    <s v="EA"/>
    <n v="19266"/>
    <s v="USD"/>
    <n v="3"/>
    <m/>
    <m/>
    <s v="http://lighttree.com/100055008"/>
    <n v="84.5"/>
    <n v="100.55500000000001"/>
  </r>
  <r>
    <x v="25"/>
    <x v="0"/>
    <x v="0"/>
    <x v="3"/>
    <s v="LT-2"/>
    <s v="FAA - Washington"/>
    <x v="0"/>
    <s v="2021-07-20T00:00:00"/>
    <s v="2021-08-31T00:00:00"/>
    <s v="2021-09-06T00:00:00"/>
    <s v="2021-09-03T00:00:00"/>
    <s v="2021-09-07T00:00:00"/>
    <n v="250"/>
    <s v="EA"/>
    <n v="312500"/>
    <s v="USD"/>
    <n v="3"/>
    <m/>
    <m/>
    <s v="http://lighttree.com/100044323"/>
    <n v="1250"/>
    <n v="1487.5"/>
  </r>
  <r>
    <x v="26"/>
    <x v="0"/>
    <x v="0"/>
    <x v="3"/>
    <s v="LT-2"/>
    <s v="FAA - Washington"/>
    <x v="0"/>
    <s v="2021-07-20T00:00:00"/>
    <s v="2021-08-19T00:00:00"/>
    <s v="2021-08-22T00:00:00"/>
    <s v="2021-08-19T00:00:00"/>
    <s v="2021-08-22T00:00:00"/>
    <n v="132"/>
    <s v="EA"/>
    <n v="165000"/>
    <s v="USD"/>
    <n v="3"/>
    <m/>
    <m/>
    <s v="http://lighttree.com/100044324"/>
    <n v="1250"/>
    <n v="1487.5"/>
  </r>
  <r>
    <x v="27"/>
    <x v="0"/>
    <x v="0"/>
    <x v="3"/>
    <s v="LT-2"/>
    <s v="FAA - Washington"/>
    <x v="0"/>
    <s v="2017-07-20T00:00:00"/>
    <s v="2021-08-11T00:00:00"/>
    <s v="2021-08-14T00:00:00"/>
    <s v="2021-08-11T00:00:00"/>
    <s v="2021-08-14T00:00:00"/>
    <n v="488"/>
    <s v="EA"/>
    <n v="35137"/>
    <s v="USD"/>
    <n v="4"/>
    <m/>
    <m/>
    <s v="http://lighttree.com/100055010"/>
    <n v="72.002049180327873"/>
    <n v="85.682438524590168"/>
  </r>
  <r>
    <x v="28"/>
    <x v="0"/>
    <x v="0"/>
    <x v="3"/>
    <s v="LT-2"/>
    <s v="FAA - Washington"/>
    <x v="0"/>
    <s v="2021-07-20T00:00:00"/>
    <s v="2021-08-11T00:00:00"/>
    <s v="2021-08-14T00:00:00"/>
    <m/>
    <m/>
    <n v="400"/>
    <s v="EA"/>
    <n v="500000"/>
    <s v="USD"/>
    <n v="3"/>
    <m/>
    <m/>
    <s v="http://lighttree.com/100044322"/>
    <n v="1250"/>
    <n v="1487.5"/>
  </r>
  <r>
    <x v="29"/>
    <x v="0"/>
    <x v="0"/>
    <x v="4"/>
    <s v="LT-2"/>
    <s v="KYTC - Lexington"/>
    <x v="0"/>
    <s v="2021-06-28T00:00:00"/>
    <s v="2021-07-20T00:00:00"/>
    <s v="2021-07-24T00:00:00"/>
    <s v="2021-07-20T00:00:00"/>
    <s v="2021-07-28T00:00:00"/>
    <n v="320"/>
    <s v="EA"/>
    <n v="400000"/>
    <s v="USD"/>
    <n v="3"/>
    <m/>
    <m/>
    <s v="http://lighttree.com/100044335"/>
    <n v="1250"/>
    <n v="1487.5"/>
  </r>
  <r>
    <x v="30"/>
    <x v="0"/>
    <x v="0"/>
    <x v="4"/>
    <s v="LT-2"/>
    <s v="KYTC - Lexington"/>
    <x v="0"/>
    <s v="2021-06-28T00:00:00"/>
    <s v="2021-07-28T00:00:00"/>
    <s v="2021-08-01T00:00:00"/>
    <s v="2021-07-28T00:00:00"/>
    <s v="2021-08-01T00:00:00"/>
    <n v="75"/>
    <s v="EA"/>
    <n v="93750"/>
    <s v="USD"/>
    <n v="3"/>
    <m/>
    <m/>
    <s v="http://lighttree.com/100044336"/>
    <n v="1250"/>
    <n v="1487.5"/>
  </r>
  <r>
    <x v="31"/>
    <x v="0"/>
    <x v="0"/>
    <x v="4"/>
    <s v="LT-2"/>
    <s v="KYTC - Lexington"/>
    <x v="0"/>
    <s v="2021-06-28T00:00:00"/>
    <s v="2021-07-28T00:00:00"/>
    <s v="2021-08-01T00:00:00"/>
    <s v="2021-07-28T00:00:00"/>
    <s v="2021-08-01T00:00:00"/>
    <n v="4"/>
    <s v="EA"/>
    <n v="5000"/>
    <s v="USD"/>
    <n v="3"/>
    <m/>
    <m/>
    <s v="http://lighttree.com/100044337"/>
    <n v="1250"/>
    <n v="1487.5"/>
  </r>
  <r>
    <x v="32"/>
    <x v="1"/>
    <x v="1"/>
    <x v="5"/>
    <s v="Flexilux - Worcester"/>
    <s v="LT-1"/>
    <x v="0"/>
    <s v="2021-07-08T00:00:00"/>
    <s v="2021-07-15T00:00:00"/>
    <s v="2021-07-19T00:00:00"/>
    <s v="2021-07-15T00:00:00"/>
    <s v="2021-07-19T00:00:00"/>
    <n v="56"/>
    <s v="EA"/>
    <n v="134288"/>
    <s v="USD"/>
    <n v="1"/>
    <m/>
    <m/>
    <s v="http://lighttree.com/1000567212"/>
    <n v="2398"/>
    <n v="2853.62"/>
  </r>
  <r>
    <x v="33"/>
    <x v="1"/>
    <x v="2"/>
    <x v="5"/>
    <s v="Interalloy - Bozeman"/>
    <s v="LT-1"/>
    <x v="0"/>
    <s v="2021-07-08T00:00:00"/>
    <s v="2021-07-15T00:00:00"/>
    <s v="2021-07-19T00:00:00"/>
    <s v="2021-07-15T00:00:00"/>
    <s v="2021-07-19T00:00:00"/>
    <n v="56"/>
    <s v="EA"/>
    <n v="168"/>
    <s v="USD"/>
    <n v="1"/>
    <m/>
    <m/>
    <s v="http://lighttree.com/1000567213"/>
    <n v="3"/>
    <n v="3.57"/>
  </r>
  <r>
    <x v="34"/>
    <x v="1"/>
    <x v="3"/>
    <x v="5"/>
    <s v="Alumi-lux - Nashua"/>
    <s v="LT-1"/>
    <x v="0"/>
    <s v="2021-07-15T00:00:00"/>
    <s v="2021-07-22T00:00:00"/>
    <s v="2021-07-26T00:00:00"/>
    <s v="2021-07-26T00:00:00"/>
    <m/>
    <n v="44"/>
    <s v="EA"/>
    <n v="20020"/>
    <s v="USD"/>
    <n v="1"/>
    <m/>
    <m/>
    <s v="http://lighttree.com/1000567215"/>
    <n v="455"/>
    <n v="541.44999999999993"/>
  </r>
  <r>
    <x v="35"/>
    <x v="1"/>
    <x v="4"/>
    <x v="5"/>
    <s v="EM - Hemphill"/>
    <s v="LT-1"/>
    <x v="0"/>
    <s v="2021-07-15T00:00:00"/>
    <s v="2021-07-22T00:00:00"/>
    <s v="2021-07-26T00:00:00"/>
    <s v="2021-07-24T00:00:00"/>
    <m/>
    <n v="44"/>
    <s v="EA"/>
    <n v="836"/>
    <s v="USD"/>
    <n v="1"/>
    <m/>
    <m/>
    <s v="http://lighttree.com/1000567217"/>
    <n v="19"/>
    <n v="22.61"/>
  </r>
  <r>
    <x v="36"/>
    <x v="1"/>
    <x v="5"/>
    <x v="5"/>
    <s v="Thermal - Cincinnati"/>
    <s v="LT-1"/>
    <x v="0"/>
    <s v="2021-06-16T00:00:00"/>
    <s v="2021-06-23T00:00:00"/>
    <s v="2021-06-27T00:00:00"/>
    <s v="2021-06-23T00:00:00"/>
    <s v="2021-06-27T00:00:00"/>
    <n v="124"/>
    <s v="EA"/>
    <n v="6820"/>
    <s v="USD"/>
    <n v="1"/>
    <m/>
    <m/>
    <s v="http://lighttree.com/1000567229"/>
    <n v="55"/>
    <n v="65.45"/>
  </r>
  <r>
    <x v="37"/>
    <x v="1"/>
    <x v="6"/>
    <x v="5"/>
    <s v="Amos - Philadelphia"/>
    <s v="LT-1"/>
    <x v="0"/>
    <s v="2021-07-15T00:00:00"/>
    <s v="2021-07-22T00:00:00"/>
    <s v="2021-07-26T00:00:00"/>
    <s v="2021-07-22T00:00:00"/>
    <m/>
    <n v="44"/>
    <s v="EA"/>
    <n v="2420"/>
    <s v="USD"/>
    <n v="1"/>
    <m/>
    <m/>
    <s v="http://lighttree.com/1000567234"/>
    <n v="55"/>
    <n v="65.45"/>
  </r>
  <r>
    <x v="38"/>
    <x v="1"/>
    <x v="2"/>
    <x v="5"/>
    <s v="Interalloy - Bozeman"/>
    <s v="LT-1"/>
    <x v="0"/>
    <s v="2021-07-15T00:00:00"/>
    <s v="2021-07-22T00:00:00"/>
    <s v="2021-07-26T00:00:00"/>
    <s v="2021-07-24T00:00:00"/>
    <m/>
    <n v="44"/>
    <s v="EA"/>
    <n v="220"/>
    <s v="USD"/>
    <n v="1"/>
    <m/>
    <m/>
    <s v="http://lighttree.com/1000567240"/>
    <n v="5"/>
    <n v="5.9499999999999993"/>
  </r>
  <r>
    <x v="39"/>
    <x v="1"/>
    <x v="6"/>
    <x v="5"/>
    <s v="Amos - Philadelphia"/>
    <s v="LT-1"/>
    <x v="0"/>
    <s v="2021-07-08T00:00:00"/>
    <s v="2021-07-15T00:00:00"/>
    <s v="2021-07-19T00:00:00"/>
    <s v="2021-07-15T00:00:00"/>
    <s v="2021-07-19T00:00:00"/>
    <n v="56"/>
    <s v="EA"/>
    <n v="3080"/>
    <s v="USD"/>
    <n v="1"/>
    <m/>
    <m/>
    <s v="http://lighttree.com/1000567241"/>
    <n v="55"/>
    <n v="65.45"/>
  </r>
  <r>
    <x v="40"/>
    <x v="1"/>
    <x v="4"/>
    <x v="5"/>
    <s v="EM - Hemphill"/>
    <s v="LT-1"/>
    <x v="0"/>
    <s v="2021-07-08T00:00:00"/>
    <s v="2021-07-15T00:00:00"/>
    <s v="2021-07-19T00:00:00"/>
    <s v="2021-07-15T00:00:00"/>
    <s v="2021-07-19T00:00:00"/>
    <n v="56"/>
    <s v="EA"/>
    <n v="1064"/>
    <s v="USD"/>
    <n v="1"/>
    <m/>
    <m/>
    <s v="http://lighttree.com/1000567244"/>
    <n v="19"/>
    <n v="22.61"/>
  </r>
  <r>
    <x v="41"/>
    <x v="1"/>
    <x v="7"/>
    <x v="5"/>
    <s v="SA - Loretto"/>
    <s v="LT-1"/>
    <x v="0"/>
    <s v="2021-06-16T00:00:00"/>
    <s v="2021-06-23T00:00:00"/>
    <s v="2021-06-27T00:00:00"/>
    <s v="2021-06-23T00:00:00"/>
    <s v="2021-06-27T00:00:00"/>
    <n v="512"/>
    <s v="EA"/>
    <n v="179200"/>
    <s v="USD"/>
    <n v="1"/>
    <m/>
    <m/>
    <s v="http://lighttree.com/1000567248"/>
    <n v="350"/>
    <n v="416.5"/>
  </r>
  <r>
    <x v="42"/>
    <x v="1"/>
    <x v="8"/>
    <x v="5"/>
    <s v="SilverOptics - Dover"/>
    <s v="LT-1"/>
    <x v="0"/>
    <s v="2021-07-15T00:00:00"/>
    <s v="2021-07-22T00:00:00"/>
    <s v="2021-07-26T00:00:00"/>
    <m/>
    <m/>
    <n v="44"/>
    <s v="EA"/>
    <n v="4752"/>
    <s v="USD"/>
    <n v="1"/>
    <m/>
    <m/>
    <s v="http://lighttree.com/1000567251"/>
    <n v="108"/>
    <n v="128.52000000000001"/>
  </r>
  <r>
    <x v="43"/>
    <x v="1"/>
    <x v="9"/>
    <x v="5"/>
    <s v="Brewers - Phoenix"/>
    <s v="LT-1"/>
    <x v="0"/>
    <s v="2021-06-16T00:00:00"/>
    <s v="2021-06-23T00:00:00"/>
    <s v="2021-06-27T00:00:00"/>
    <s v="2021-06-23T00:00:00"/>
    <s v="2021-06-27T00:00:00"/>
    <n v="512"/>
    <s v="EA"/>
    <n v="745472"/>
    <s v="USD"/>
    <n v="1"/>
    <m/>
    <m/>
    <s v="http://lighttree.com/1000567254"/>
    <n v="1456"/>
    <n v="1732.64"/>
  </r>
  <r>
    <x v="44"/>
    <x v="1"/>
    <x v="10"/>
    <x v="5"/>
    <s v="Ripley - Trenton"/>
    <s v="LT-1"/>
    <x v="0"/>
    <s v="2021-07-08T00:00:00"/>
    <s v="2021-07-15T00:00:00"/>
    <s v="2021-07-19T00:00:00"/>
    <s v="2021-07-15T00:00:00"/>
    <s v="2021-07-19T00:00:00"/>
    <n v="56"/>
    <s v="EA"/>
    <n v="17920"/>
    <s v="USD"/>
    <n v="1"/>
    <m/>
    <m/>
    <s v="http://lighttree.com/1000567255"/>
    <n v="320"/>
    <n v="380.8"/>
  </r>
  <r>
    <x v="45"/>
    <x v="1"/>
    <x v="2"/>
    <x v="5"/>
    <s v="Interalloy - Bozeman"/>
    <s v="LT-1"/>
    <x v="0"/>
    <s v="2021-06-16T00:00:00"/>
    <s v="2021-06-23T00:00:00"/>
    <s v="2021-06-27T00:00:00"/>
    <s v="2021-06-23T00:00:00"/>
    <s v="2021-06-27T00:00:00"/>
    <n v="512"/>
    <s v="EA"/>
    <n v="2560"/>
    <s v="USD"/>
    <n v="1"/>
    <m/>
    <m/>
    <s v="http://lighttree.com/1000567262"/>
    <n v="5"/>
    <n v="5.9499999999999993"/>
  </r>
  <r>
    <x v="46"/>
    <x v="1"/>
    <x v="10"/>
    <x v="5"/>
    <s v="Ripley - Trenton"/>
    <s v="LT-1"/>
    <x v="0"/>
    <s v="2021-07-15T00:00:00"/>
    <s v="2021-07-22T00:00:00"/>
    <s v="2021-07-26T00:00:00"/>
    <m/>
    <m/>
    <n v="44"/>
    <s v="EA"/>
    <n v="15400"/>
    <s v="USD"/>
    <n v="1"/>
    <m/>
    <m/>
    <s v="http://lighttree.com/1000567264"/>
    <n v="350"/>
    <n v="416.5"/>
  </r>
  <r>
    <x v="47"/>
    <x v="1"/>
    <x v="4"/>
    <x v="5"/>
    <s v="EM - Hemphill"/>
    <s v="LT-1"/>
    <x v="0"/>
    <s v="2021-06-16T00:00:00"/>
    <s v="2021-06-23T00:00:00"/>
    <s v="2021-06-27T00:00:00"/>
    <s v="2021-06-23T00:00:00"/>
    <s v="2021-06-27T00:00:00"/>
    <n v="512"/>
    <s v="EA"/>
    <n v="9728"/>
    <s v="USD"/>
    <n v="1"/>
    <m/>
    <m/>
    <s v="http://lighttree.com/1000567268"/>
    <n v="19"/>
    <n v="22.61"/>
  </r>
  <r>
    <x v="48"/>
    <x v="1"/>
    <x v="9"/>
    <x v="5"/>
    <s v="Brewers - Phoenix"/>
    <s v="LT-1"/>
    <x v="0"/>
    <s v="2021-07-15T00:00:00"/>
    <s v="2021-07-22T00:00:00"/>
    <s v="2021-07-26T00:00:00"/>
    <s v="2021-07-22T00:00:00"/>
    <m/>
    <n v="44"/>
    <s v="EA"/>
    <n v="56628"/>
    <s v="USD"/>
    <n v="1"/>
    <m/>
    <m/>
    <s v="http://lighttree.com/1000567286"/>
    <n v="1287"/>
    <n v="1531.53"/>
  </r>
  <r>
    <x v="49"/>
    <x v="1"/>
    <x v="11"/>
    <x v="5"/>
    <s v="Mueller - Pittsburgh"/>
    <s v="LT-1"/>
    <x v="0"/>
    <s v="2021-06-16T00:00:00"/>
    <s v="2021-06-23T00:00:00"/>
    <s v="2021-06-27T00:00:00"/>
    <s v="2021-06-23T00:00:00"/>
    <s v="2021-06-27T00:00:00"/>
    <n v="512"/>
    <s v="EA"/>
    <n v="210944"/>
    <s v="USD"/>
    <n v="1"/>
    <m/>
    <m/>
    <s v="http://lighttree.com/1000567287"/>
    <n v="412"/>
    <n v="490.28"/>
  </r>
  <r>
    <x v="50"/>
    <x v="1"/>
    <x v="3"/>
    <x v="5"/>
    <s v="Alumi-lux - Nashua"/>
    <s v="LT-1"/>
    <x v="0"/>
    <s v="2021-06-29T00:00:00"/>
    <s v="2021-07-06T00:00:00"/>
    <s v="2021-07-10T00:00:00"/>
    <s v="2021-07-10T00:00:00"/>
    <s v="2021-07-14T00:00:00"/>
    <n v="75"/>
    <s v="EA"/>
    <n v="34125"/>
    <s v="USD"/>
    <n v="1"/>
    <m/>
    <m/>
    <s v="http://lighttree.com/1000567294"/>
    <n v="455"/>
    <n v="541.44999999999993"/>
  </r>
  <r>
    <x v="51"/>
    <x v="1"/>
    <x v="2"/>
    <x v="5"/>
    <s v="Interalloy - Bozeman"/>
    <s v="LT-1"/>
    <x v="0"/>
    <s v="2021-06-16T00:00:00"/>
    <s v="2021-06-23T00:00:00"/>
    <s v="2021-06-27T00:00:00"/>
    <s v="2021-06-23T00:00:00"/>
    <s v="2021-06-27T00:00:00"/>
    <n v="512"/>
    <s v="EA"/>
    <n v="1536"/>
    <s v="USD"/>
    <n v="1"/>
    <m/>
    <m/>
    <s v="http://lighttree.com/1000567306"/>
    <n v="3"/>
    <n v="3.57"/>
  </r>
  <r>
    <x v="52"/>
    <x v="1"/>
    <x v="12"/>
    <x v="5"/>
    <s v="F &amp; M - Columbus"/>
    <s v="LT-1"/>
    <x v="0"/>
    <s v="2021-07-08T00:00:00"/>
    <s v="2021-07-15T00:00:00"/>
    <s v="2021-07-19T00:00:00"/>
    <s v="2021-07-15T00:00:00"/>
    <s v="2021-07-19T00:00:00"/>
    <n v="56"/>
    <s v="EA"/>
    <n v="2800"/>
    <s v="USD"/>
    <n v="1"/>
    <m/>
    <m/>
    <s v="http://lighttree.com/1000567310"/>
    <n v="50"/>
    <n v="59.5"/>
  </r>
  <r>
    <x v="53"/>
    <x v="1"/>
    <x v="13"/>
    <x v="5"/>
    <s v="Hardy - Salina"/>
    <s v="LT-1"/>
    <x v="0"/>
    <s v="2021-06-29T00:00:00"/>
    <s v="2021-07-06T00:00:00"/>
    <s v="2021-07-10T00:00:00"/>
    <s v="2021-07-06T00:00:00"/>
    <s v="2021-07-10T00:00:00"/>
    <n v="75"/>
    <s v="EA"/>
    <n v="1800"/>
    <s v="USD"/>
    <n v="1"/>
    <m/>
    <m/>
    <s v="http://lighttree.com/1000567311"/>
    <n v="24"/>
    <n v="28.56"/>
  </r>
  <r>
    <x v="54"/>
    <x v="1"/>
    <x v="12"/>
    <x v="5"/>
    <s v="F &amp; M - Columbus"/>
    <s v="LT-1"/>
    <x v="0"/>
    <s v="2021-06-16T00:00:00"/>
    <s v="2021-06-23T00:00:00"/>
    <s v="2021-06-27T00:00:00"/>
    <s v="2021-06-23T00:00:00"/>
    <s v="2021-06-27T00:00:00"/>
    <n v="512"/>
    <s v="EA"/>
    <n v="25600"/>
    <s v="USD"/>
    <n v="1"/>
    <m/>
    <m/>
    <s v="http://lighttree.com/1000567313"/>
    <n v="50"/>
    <n v="59.5"/>
  </r>
  <r>
    <x v="55"/>
    <x v="1"/>
    <x v="2"/>
    <x v="5"/>
    <s v="Interalloy - Bozeman"/>
    <s v="LT-1"/>
    <x v="0"/>
    <s v="2021-07-08T00:00:00"/>
    <s v="2021-07-15T00:00:00"/>
    <s v="2021-07-19T00:00:00"/>
    <s v="2021-07-15T00:00:00"/>
    <s v="2021-07-19T00:00:00"/>
    <n v="56"/>
    <s v="EA"/>
    <n v="280"/>
    <s v="USD"/>
    <n v="1"/>
    <m/>
    <m/>
    <s v="http://lighttree.com/1000567318"/>
    <n v="5"/>
    <n v="5.9499999999999993"/>
  </r>
  <r>
    <x v="56"/>
    <x v="1"/>
    <x v="9"/>
    <x v="5"/>
    <s v="Brewers - Phoenix"/>
    <s v="LT-1"/>
    <x v="0"/>
    <s v="2021-07-08T00:00:00"/>
    <s v="2021-07-15T00:00:00"/>
    <s v="2021-07-19T00:00:00"/>
    <s v="2021-07-15T00:00:00"/>
    <s v="2021-07-19T00:00:00"/>
    <n v="56"/>
    <s v="EA"/>
    <n v="81536"/>
    <s v="USD"/>
    <n v="1"/>
    <m/>
    <m/>
    <s v="http://lighttree.com/1000567320"/>
    <n v="1456"/>
    <n v="1732.64"/>
  </r>
  <r>
    <x v="57"/>
    <x v="1"/>
    <x v="14"/>
    <x v="5"/>
    <s v="R&amp;J - Vancouver"/>
    <s v="LT-1"/>
    <x v="0"/>
    <s v="2021-06-29T00:00:00"/>
    <s v="2021-07-06T00:00:00"/>
    <s v="2021-07-10T00:00:00"/>
    <s v="2021-07-06T00:00:00"/>
    <s v="2021-07-10T00:00:00"/>
    <n v="75"/>
    <s v="EA"/>
    <n v="58050"/>
    <s v="USD"/>
    <n v="1"/>
    <m/>
    <m/>
    <s v="http://lighttree.com/1000567323"/>
    <n v="774"/>
    <n v="921.06"/>
  </r>
  <r>
    <x v="58"/>
    <x v="1"/>
    <x v="15"/>
    <x v="5"/>
    <s v="McGrey - Mt Sterling"/>
    <s v="LT-1"/>
    <x v="0"/>
    <s v="2021-06-29T00:00:00"/>
    <s v="2021-07-06T00:00:00"/>
    <s v="2021-07-10T00:00:00"/>
    <s v="2021-07-06T00:00:00"/>
    <s v="2021-07-10T00:00:00"/>
    <n v="75"/>
    <s v="EA"/>
    <n v="96750"/>
    <s v="USD"/>
    <n v="1"/>
    <m/>
    <m/>
    <s v="http://lighttree.com/1000567324"/>
    <n v="1290"/>
    <n v="1535.1"/>
  </r>
  <r>
    <x v="59"/>
    <x v="1"/>
    <x v="10"/>
    <x v="5"/>
    <s v="Ripley - Trenton"/>
    <s v="LT-1"/>
    <x v="0"/>
    <s v="2021-06-16T00:00:00"/>
    <s v="2021-06-23T00:00:00"/>
    <s v="2021-06-27T00:00:00"/>
    <s v="2021-06-23T00:00:00"/>
    <s v="2021-06-27T00:00:00"/>
    <n v="512"/>
    <s v="EA"/>
    <n v="163840"/>
    <s v="USD"/>
    <n v="1"/>
    <m/>
    <m/>
    <s v="http://lighttree.com/1000567325"/>
    <n v="320"/>
    <n v="380.8"/>
  </r>
  <r>
    <x v="60"/>
    <x v="1"/>
    <x v="11"/>
    <x v="5"/>
    <s v="Mueller - Pittsburgh"/>
    <s v="LT-1"/>
    <x v="0"/>
    <s v="2021-06-29T00:00:00"/>
    <s v="2021-07-06T00:00:00"/>
    <s v="2021-07-10T00:00:00"/>
    <s v="2021-07-06T00:00:00"/>
    <s v="2021-07-10T00:00:00"/>
    <n v="75"/>
    <s v="EA"/>
    <n v="30900"/>
    <s v="USD"/>
    <n v="1"/>
    <m/>
    <m/>
    <s v="http://lighttree.com/1000567326"/>
    <n v="412"/>
    <n v="490.28"/>
  </r>
  <r>
    <x v="61"/>
    <x v="1"/>
    <x v="8"/>
    <x v="5"/>
    <s v="SilverOptics - Dover"/>
    <s v="LT-1"/>
    <x v="0"/>
    <s v="2021-06-16T00:00:00"/>
    <s v="2021-06-23T00:00:00"/>
    <s v="2021-06-27T00:00:00"/>
    <s v="2021-06-23T00:00:00"/>
    <s v="2021-06-27T00:00:00"/>
    <n v="124"/>
    <s v="EA"/>
    <n v="13392"/>
    <s v="USD"/>
    <n v="1"/>
    <m/>
    <m/>
    <s v="http://lighttree.com/1000567332"/>
    <n v="108"/>
    <n v="128.52000000000001"/>
  </r>
  <r>
    <x v="62"/>
    <x v="1"/>
    <x v="9"/>
    <x v="5"/>
    <s v="Brewers - Phoenix"/>
    <s v="LT-1"/>
    <x v="0"/>
    <s v="2021-06-29T00:00:00"/>
    <s v="2021-07-06T00:00:00"/>
    <s v="2021-07-10T00:00:00"/>
    <s v="2021-07-06T00:00:00"/>
    <s v="2021-07-10T00:00:00"/>
    <n v="75"/>
    <s v="EA"/>
    <n v="96525"/>
    <s v="USD"/>
    <n v="1"/>
    <m/>
    <m/>
    <s v="http://lighttree.com/1000567334"/>
    <n v="1287"/>
    <n v="1531.53"/>
  </r>
  <r>
    <x v="63"/>
    <x v="1"/>
    <x v="16"/>
    <x v="5"/>
    <s v="LightLens - Ipswich "/>
    <s v="LT-1"/>
    <x v="0"/>
    <s v="2021-06-16T00:00:00"/>
    <s v="2021-06-23T00:00:00"/>
    <s v="2021-06-27T00:00:00"/>
    <s v="2021-06-29T00:00:00"/>
    <s v="2021-07-03T00:00:00"/>
    <n v="512"/>
    <s v="EA"/>
    <n v="97280"/>
    <s v="USD"/>
    <n v="1"/>
    <m/>
    <m/>
    <s v="http://lighttree.com/1000567335"/>
    <n v="190"/>
    <n v="226.1"/>
  </r>
  <r>
    <x v="64"/>
    <x v="1"/>
    <x v="8"/>
    <x v="5"/>
    <s v="SilverOptics - Dover"/>
    <s v="LT-1"/>
    <x v="0"/>
    <s v="2021-06-16T00:00:00"/>
    <s v="2021-06-23T00:00:00"/>
    <s v="2021-06-27T00:00:00"/>
    <s v="2021-06-23T00:00:00"/>
    <s v="2021-06-27T00:00:00"/>
    <n v="512"/>
    <s v="EA"/>
    <n v="48640"/>
    <s v="USD"/>
    <n v="1"/>
    <m/>
    <m/>
    <s v="http://lighttree.com/1000567338"/>
    <n v="95"/>
    <n v="113.05"/>
  </r>
  <r>
    <x v="65"/>
    <x v="1"/>
    <x v="3"/>
    <x v="5"/>
    <s v="Alumi-lux - Nashua"/>
    <s v="LT-1"/>
    <x v="0"/>
    <s v="2021-07-08T00:00:00"/>
    <s v="2021-07-15T00:00:00"/>
    <s v="2021-07-19T00:00:00"/>
    <s v="2021-07-17T00:00:00"/>
    <s v="2021-07-21T00:00:00"/>
    <n v="56"/>
    <s v="EA"/>
    <n v="25480"/>
    <s v="USD"/>
    <n v="1"/>
    <m/>
    <m/>
    <s v="http://lighttree.com/1000567340"/>
    <n v="455"/>
    <n v="541.44999999999993"/>
  </r>
  <r>
    <x v="66"/>
    <x v="1"/>
    <x v="11"/>
    <x v="5"/>
    <s v="Mueller - Pittsburgh"/>
    <s v="LT-1"/>
    <x v="0"/>
    <s v="2021-07-08T00:00:00"/>
    <s v="2021-07-15T00:00:00"/>
    <s v="2021-07-19T00:00:00"/>
    <s v="2021-07-15T00:00:00"/>
    <s v="2021-07-19T00:00:00"/>
    <n v="56"/>
    <s v="EA"/>
    <n v="23072"/>
    <s v="USD"/>
    <n v="1"/>
    <m/>
    <m/>
    <s v="http://lighttree.com/1000567342"/>
    <n v="412"/>
    <n v="490.28"/>
  </r>
  <r>
    <x v="67"/>
    <x v="1"/>
    <x v="11"/>
    <x v="5"/>
    <s v="Mueller - Pittsburgh"/>
    <s v="LT-1"/>
    <x v="0"/>
    <s v="2021-06-29T00:00:00"/>
    <s v="2021-07-06T00:00:00"/>
    <s v="2021-07-10T00:00:00"/>
    <s v="2021-07-06T00:00:00"/>
    <s v="2021-07-10T00:00:00"/>
    <n v="75"/>
    <s v="EA"/>
    <n v="31650"/>
    <s v="USD"/>
    <n v="1"/>
    <m/>
    <m/>
    <s v="http://lighttree.com/1000567349"/>
    <n v="422"/>
    <n v="502.17999999999989"/>
  </r>
  <r>
    <x v="68"/>
    <x v="1"/>
    <x v="1"/>
    <x v="5"/>
    <s v="Flexilux - Worcester"/>
    <s v="LT-1"/>
    <x v="0"/>
    <s v="2021-07-15T00:00:00"/>
    <s v="2021-07-22T00:00:00"/>
    <s v="2021-07-26T00:00:00"/>
    <s v="2021-07-22T00:00:00"/>
    <m/>
    <n v="44"/>
    <s v="EA"/>
    <n v="103356"/>
    <s v="USD"/>
    <n v="1"/>
    <m/>
    <m/>
    <s v="http://lighttree.com/1000567350"/>
    <n v="2349"/>
    <n v="2795.31"/>
  </r>
  <r>
    <x v="69"/>
    <x v="1"/>
    <x v="11"/>
    <x v="5"/>
    <s v="Mueller - Pittsburgh"/>
    <s v="LT-1"/>
    <x v="0"/>
    <s v="2021-07-15T00:00:00"/>
    <s v="2021-07-22T00:00:00"/>
    <s v="2021-07-26T00:00:00"/>
    <s v="2021-07-22T00:00:00"/>
    <m/>
    <n v="44"/>
    <s v="EA"/>
    <n v="18568"/>
    <s v="USD"/>
    <n v="1"/>
    <m/>
    <m/>
    <s v="http://lighttree.com/1000567353"/>
    <n v="422"/>
    <n v="502.17999999999989"/>
  </r>
  <r>
    <x v="70"/>
    <x v="1"/>
    <x v="17"/>
    <x v="5"/>
    <s v="Gemini - Dallas"/>
    <s v="LT-1"/>
    <x v="0"/>
    <s v="2021-07-08T00:00:00"/>
    <s v="2021-07-15T00:00:00"/>
    <s v="2021-07-19T00:00:00"/>
    <s v="2021-07-15T00:00:00"/>
    <s v="2021-07-19T00:00:00"/>
    <n v="56"/>
    <s v="EA"/>
    <n v="6832"/>
    <s v="USD"/>
    <n v="1"/>
    <m/>
    <m/>
    <s v="http://lighttree.com/1000567356"/>
    <n v="122"/>
    <n v="145.18"/>
  </r>
  <r>
    <x v="71"/>
    <x v="1"/>
    <x v="16"/>
    <x v="5"/>
    <s v="LightLens - Ipswich "/>
    <s v="LT-1"/>
    <x v="0"/>
    <s v="2021-07-15T00:00:00"/>
    <s v="2021-07-22T00:00:00"/>
    <s v="2021-07-26T00:00:00"/>
    <s v="2021-07-22T00:00:00"/>
    <m/>
    <n v="44"/>
    <s v="EA"/>
    <n v="8932"/>
    <s v="USD"/>
    <n v="1"/>
    <m/>
    <m/>
    <s v="http://lighttree.com/1000567363"/>
    <n v="203"/>
    <n v="241.57"/>
  </r>
  <r>
    <x v="72"/>
    <x v="1"/>
    <x v="12"/>
    <x v="5"/>
    <s v="F &amp; M - Columbus"/>
    <s v="LT-1"/>
    <x v="0"/>
    <s v="2021-06-29T00:00:00"/>
    <s v="2021-07-06T00:00:00"/>
    <s v="2021-07-10T00:00:00"/>
    <s v="2021-07-06T00:00:00"/>
    <s v="2021-07-10T00:00:00"/>
    <n v="75"/>
    <s v="EA"/>
    <n v="3750"/>
    <s v="USD"/>
    <n v="1"/>
    <m/>
    <m/>
    <s v="http://lighttree.com/1000567365"/>
    <n v="50"/>
    <n v="59.5"/>
  </r>
  <r>
    <x v="73"/>
    <x v="1"/>
    <x v="2"/>
    <x v="5"/>
    <s v="Interalloy - Bozeman"/>
    <s v="LT-1"/>
    <x v="0"/>
    <s v="2021-06-29T00:00:00"/>
    <s v="2021-07-06T00:00:00"/>
    <s v="2021-07-10T00:00:00"/>
    <s v="2021-07-06T00:00:00"/>
    <s v="2021-07-10T00:00:00"/>
    <n v="75"/>
    <s v="EA"/>
    <n v="375"/>
    <s v="USD"/>
    <n v="1"/>
    <m/>
    <m/>
    <s v="http://lighttree.com/1000567367"/>
    <n v="5"/>
    <n v="5.9499999999999993"/>
  </r>
  <r>
    <x v="74"/>
    <x v="1"/>
    <x v="1"/>
    <x v="5"/>
    <s v="Flexilux - Worcester"/>
    <s v="LT-1"/>
    <x v="0"/>
    <s v="2021-06-29T00:00:00"/>
    <s v="2021-07-06T00:00:00"/>
    <s v="2021-07-10T00:00:00"/>
    <s v="2021-07-06T00:00:00"/>
    <s v="2021-07-10T00:00:00"/>
    <n v="75"/>
    <s v="EA"/>
    <n v="176175"/>
    <s v="USD"/>
    <n v="1"/>
    <m/>
    <m/>
    <s v="http://lighttree.com/1000567369"/>
    <n v="2349"/>
    <n v="2795.31"/>
  </r>
  <r>
    <x v="75"/>
    <x v="1"/>
    <x v="8"/>
    <x v="5"/>
    <s v="SilverOptics - Dover"/>
    <s v="LT-1"/>
    <x v="0"/>
    <s v="2021-07-08T00:00:00"/>
    <s v="2021-07-15T00:00:00"/>
    <s v="2021-07-19T00:00:00"/>
    <s v="2021-07-15T00:00:00"/>
    <s v="2021-07-19T00:00:00"/>
    <n v="56"/>
    <s v="EA"/>
    <n v="5320"/>
    <s v="USD"/>
    <n v="1"/>
    <m/>
    <m/>
    <s v="http://lighttree.com/1000567370"/>
    <n v="95"/>
    <n v="113.05"/>
  </r>
  <r>
    <x v="76"/>
    <x v="1"/>
    <x v="11"/>
    <x v="5"/>
    <s v="Mueller - Pittsburgh"/>
    <s v="LT-1"/>
    <x v="0"/>
    <s v="2021-06-16T00:00:00"/>
    <s v="2021-06-23T00:00:00"/>
    <s v="2021-06-27T00:00:00"/>
    <s v="2021-06-23T00:00:00"/>
    <s v="2021-06-27T00:00:00"/>
    <n v="124"/>
    <s v="EA"/>
    <n v="52328"/>
    <s v="USD"/>
    <n v="1"/>
    <m/>
    <m/>
    <s v="http://lighttree.com/1000567371"/>
    <n v="422"/>
    <n v="502.17999999999989"/>
  </r>
  <r>
    <x v="77"/>
    <x v="1"/>
    <x v="16"/>
    <x v="5"/>
    <s v="LightLens - Ipswich "/>
    <s v="LT-1"/>
    <x v="0"/>
    <s v="2021-06-29T00:00:00"/>
    <s v="2021-07-06T00:00:00"/>
    <s v="2021-07-10T00:00:00"/>
    <s v="2021-07-06T00:00:00"/>
    <s v="2021-07-10T00:00:00"/>
    <n v="75"/>
    <s v="EA"/>
    <n v="15225"/>
    <s v="USD"/>
    <n v="1"/>
    <m/>
    <m/>
    <s v="http://lighttree.com/1000567382"/>
    <n v="203"/>
    <n v="241.57"/>
  </r>
  <r>
    <x v="78"/>
    <x v="1"/>
    <x v="18"/>
    <x v="5"/>
    <s v="Total Source - Waukesha"/>
    <s v="LT-1"/>
    <x v="0"/>
    <s v="2021-06-16T00:00:00"/>
    <s v="2021-06-23T00:00:00"/>
    <s v="2021-06-27T00:00:00"/>
    <s v="2021-06-23T00:00:00"/>
    <s v="2021-06-27T00:00:00"/>
    <n v="512"/>
    <s v="EA"/>
    <n v="528384"/>
    <s v="USD"/>
    <n v="1"/>
    <m/>
    <m/>
    <s v="http://lighttree.com/1000567388"/>
    <n v="1032"/>
    <n v="1228.08"/>
  </r>
  <r>
    <x v="79"/>
    <x v="1"/>
    <x v="16"/>
    <x v="5"/>
    <s v="LightLens - Ipswich "/>
    <s v="LT-1"/>
    <x v="0"/>
    <s v="2021-07-08T00:00:00"/>
    <s v="2021-07-15T00:00:00"/>
    <s v="2021-07-19T00:00:00"/>
    <s v="2021-07-15T00:00:00"/>
    <s v="2021-07-25T00:00:00"/>
    <n v="56"/>
    <s v="EA"/>
    <n v="10640"/>
    <s v="USD"/>
    <n v="1"/>
    <m/>
    <m/>
    <s v="http://lighttree.com/1000567391"/>
    <n v="190"/>
    <n v="226.1"/>
  </r>
  <r>
    <x v="80"/>
    <x v="1"/>
    <x v="4"/>
    <x v="5"/>
    <s v="EM - Hemphill"/>
    <s v="LT-1"/>
    <x v="0"/>
    <s v="2021-06-29T00:00:00"/>
    <s v="2021-07-06T00:00:00"/>
    <s v="2021-07-10T00:00:00"/>
    <s v="2021-07-06T00:00:00"/>
    <s v="2021-07-10T00:00:00"/>
    <n v="75"/>
    <s v="EA"/>
    <n v="1425"/>
    <s v="USD"/>
    <n v="1"/>
    <m/>
    <m/>
    <s v="http://lighttree.com/1000567394"/>
    <n v="19"/>
    <n v="22.61"/>
  </r>
  <r>
    <x v="81"/>
    <x v="1"/>
    <x v="3"/>
    <x v="5"/>
    <s v="Alumi-lux - Nashua"/>
    <s v="LT-1"/>
    <x v="0"/>
    <s v="2021-06-16T00:00:00"/>
    <s v="2021-06-23T00:00:00"/>
    <s v="2021-06-27T00:00:00"/>
    <s v="2021-06-23T00:00:00"/>
    <s v="2021-06-27T00:00:00"/>
    <n v="512"/>
    <s v="EA"/>
    <n v="232960"/>
    <s v="USD"/>
    <n v="1"/>
    <m/>
    <m/>
    <s v="http://lighttree.com/1000567402"/>
    <n v="455"/>
    <n v="541.44999999999993"/>
  </r>
  <r>
    <x v="82"/>
    <x v="1"/>
    <x v="11"/>
    <x v="5"/>
    <s v="Mueller - Pittsburgh"/>
    <s v="LT-1"/>
    <x v="0"/>
    <s v="2021-07-15T00:00:00"/>
    <s v="2021-07-22T00:00:00"/>
    <s v="2021-07-26T00:00:00"/>
    <s v="2021-07-22T00:00:00"/>
    <m/>
    <n v="44"/>
    <s v="EA"/>
    <n v="18128"/>
    <s v="USD"/>
    <n v="1"/>
    <m/>
    <m/>
    <s v="http://lighttree.com/1000567403"/>
    <n v="412"/>
    <n v="490.28"/>
  </r>
  <r>
    <x v="83"/>
    <x v="1"/>
    <x v="17"/>
    <x v="5"/>
    <s v="Gemini - Dallas"/>
    <s v="LT-1"/>
    <x v="0"/>
    <s v="2021-06-16T00:00:00"/>
    <s v="2021-06-23T00:00:00"/>
    <s v="2021-06-27T00:00:00"/>
    <s v="2021-06-23T00:00:00"/>
    <s v="2021-06-27T00:00:00"/>
    <n v="512"/>
    <s v="EA"/>
    <n v="62464"/>
    <s v="USD"/>
    <n v="1"/>
    <m/>
    <m/>
    <s v="http://lighttree.com/1000567407"/>
    <n v="122"/>
    <n v="145.18"/>
  </r>
  <r>
    <x v="84"/>
    <x v="1"/>
    <x v="18"/>
    <x v="5"/>
    <s v="Total Source - Waukesha"/>
    <s v="LT-1"/>
    <x v="0"/>
    <s v="2021-07-08T00:00:00"/>
    <s v="2021-07-15T00:00:00"/>
    <s v="2021-07-19T00:00:00"/>
    <s v="2021-07-15T00:00:00"/>
    <s v="2021-07-19T00:00:00"/>
    <n v="56"/>
    <s v="EA"/>
    <n v="57792"/>
    <s v="USD"/>
    <n v="1"/>
    <m/>
    <m/>
    <s v="http://lighttree.com/1000567409"/>
    <n v="1032"/>
    <n v="1228.08"/>
  </r>
  <r>
    <x v="85"/>
    <x v="1"/>
    <x v="2"/>
    <x v="5"/>
    <s v="Interalloy - Bozeman"/>
    <s v="LT-1"/>
    <x v="0"/>
    <s v="2021-07-15T00:00:00"/>
    <s v="2021-07-22T00:00:00"/>
    <s v="2021-07-26T00:00:00"/>
    <s v="2021-07-24T00:00:00"/>
    <m/>
    <n v="44"/>
    <s v="EA"/>
    <n v="132"/>
    <s v="USD"/>
    <n v="1"/>
    <m/>
    <m/>
    <s v="http://lighttree.com/1000567411"/>
    <n v="3"/>
    <n v="3.57"/>
  </r>
  <r>
    <x v="86"/>
    <x v="1"/>
    <x v="6"/>
    <x v="5"/>
    <s v="Amos - Philadelphia"/>
    <s v="LT-1"/>
    <x v="0"/>
    <s v="2021-06-29T00:00:00"/>
    <s v="2021-07-06T00:00:00"/>
    <s v="2021-07-10T00:00:00"/>
    <s v="2021-07-06T00:00:00"/>
    <s v="2021-07-10T00:00:00"/>
    <n v="75"/>
    <s v="EA"/>
    <n v="4125"/>
    <s v="USD"/>
    <n v="1"/>
    <m/>
    <m/>
    <s v="http://lighttree.com/1000567414"/>
    <n v="55"/>
    <n v="65.45"/>
  </r>
  <r>
    <x v="87"/>
    <x v="1"/>
    <x v="3"/>
    <x v="5"/>
    <s v="Alumi-lux - Nashua"/>
    <s v="LT-1"/>
    <x v="0"/>
    <s v="2021-06-16T00:00:00"/>
    <s v="2021-06-23T00:00:00"/>
    <s v="2021-06-27T00:00:00"/>
    <s v="2021-06-23T00:00:00"/>
    <s v="2021-06-27T00:00:00"/>
    <n v="124"/>
    <s v="EA"/>
    <n v="56420"/>
    <s v="USD"/>
    <n v="1"/>
    <m/>
    <m/>
    <s v="http://lighttree.com/1000567418"/>
    <n v="455"/>
    <n v="541.44999999999993"/>
  </r>
  <r>
    <x v="88"/>
    <x v="1"/>
    <x v="17"/>
    <x v="5"/>
    <s v="Gemini - Dallas"/>
    <s v="LT-1"/>
    <x v="0"/>
    <s v="2021-06-29T00:00:00"/>
    <s v="2021-07-06T00:00:00"/>
    <s v="2021-07-10T00:00:00"/>
    <s v="2021-07-06T00:00:00"/>
    <s v="2021-07-10T00:00:00"/>
    <n v="75"/>
    <s v="EA"/>
    <n v="9150"/>
    <s v="USD"/>
    <n v="1"/>
    <m/>
    <m/>
    <s v="http://lighttree.com/1000567420"/>
    <n v="122"/>
    <n v="145.18"/>
  </r>
  <r>
    <x v="89"/>
    <x v="1"/>
    <x v="19"/>
    <x v="5"/>
    <s v="RLP - Troy"/>
    <s v="LT-1"/>
    <x v="0"/>
    <s v="2021-06-16T00:00:00"/>
    <s v="2021-06-23T00:00:00"/>
    <s v="2021-06-27T00:00:00"/>
    <s v="2021-06-23T00:00:00"/>
    <s v="2021-06-27T00:00:00"/>
    <n v="512"/>
    <s v="EA"/>
    <n v="57344"/>
    <s v="USD"/>
    <n v="1"/>
    <m/>
    <m/>
    <s v="http://lighttree.com/1000567421"/>
    <n v="112"/>
    <n v="133.28"/>
  </r>
  <r>
    <x v="90"/>
    <x v="1"/>
    <x v="1"/>
    <x v="5"/>
    <s v="Flexilux - Worcester"/>
    <s v="LT-1"/>
    <x v="0"/>
    <s v="2021-06-16T00:00:00"/>
    <s v="2021-06-23T00:00:00"/>
    <s v="2021-06-27T00:00:00"/>
    <s v="2021-06-23T00:00:00"/>
    <s v="2021-06-27T00:00:00"/>
    <n v="512"/>
    <s v="EA"/>
    <n v="1227776"/>
    <s v="USD"/>
    <n v="1"/>
    <m/>
    <m/>
    <s v="http://lighttree.com/1000567422"/>
    <n v="2398"/>
    <n v="2853.62"/>
  </r>
  <r>
    <x v="91"/>
    <x v="1"/>
    <x v="14"/>
    <x v="5"/>
    <s v="R&amp;J - Vancouver"/>
    <s v="LT-1"/>
    <x v="0"/>
    <s v="2021-07-15T00:00:00"/>
    <s v="2021-07-22T00:00:00"/>
    <s v="2021-07-26T00:00:00"/>
    <s v="2021-07-22T00:00:00"/>
    <m/>
    <n v="44"/>
    <s v="EA"/>
    <n v="34056"/>
    <s v="USD"/>
    <n v="1"/>
    <m/>
    <m/>
    <s v="http://lighttree.com/1000567429"/>
    <n v="774"/>
    <n v="921.06"/>
  </r>
  <r>
    <x v="92"/>
    <x v="1"/>
    <x v="2"/>
    <x v="5"/>
    <s v="Interalloy - Bozeman"/>
    <s v="LT-1"/>
    <x v="0"/>
    <s v="2021-06-29T00:00:00"/>
    <s v="2021-07-06T00:00:00"/>
    <s v="2021-07-10T00:00:00"/>
    <s v="2021-07-06T00:00:00"/>
    <s v="2021-07-10T00:00:00"/>
    <n v="75"/>
    <s v="EA"/>
    <n v="225"/>
    <s v="USD"/>
    <n v="1"/>
    <m/>
    <m/>
    <s v="http://lighttree.com/1000567432"/>
    <n v="3"/>
    <n v="3.57"/>
  </r>
  <r>
    <x v="93"/>
    <x v="1"/>
    <x v="6"/>
    <x v="5"/>
    <s v="Amos - Philadelphia"/>
    <s v="LT-1"/>
    <x v="0"/>
    <s v="2021-06-16T00:00:00"/>
    <s v="2021-06-23T00:00:00"/>
    <s v="2021-06-27T00:00:00"/>
    <s v="2021-06-23T00:00:00"/>
    <s v="2021-06-27T00:00:00"/>
    <n v="124"/>
    <s v="EA"/>
    <n v="6820"/>
    <s v="USD"/>
    <n v="1"/>
    <m/>
    <m/>
    <s v="http://lighttree.com/1000567434"/>
    <n v="55"/>
    <n v="65.45"/>
  </r>
  <r>
    <x v="94"/>
    <x v="1"/>
    <x v="12"/>
    <x v="5"/>
    <s v="F &amp; M - Columbus"/>
    <s v="LT-1"/>
    <x v="0"/>
    <s v="2021-07-15T00:00:00"/>
    <s v="2021-07-22T00:00:00"/>
    <s v="2021-07-26T00:00:00"/>
    <s v="2021-07-22T00:00:00"/>
    <m/>
    <n v="44"/>
    <s v="EA"/>
    <n v="2200"/>
    <s v="USD"/>
    <n v="1"/>
    <m/>
    <m/>
    <s v="http://lighttree.com/1000567435"/>
    <n v="50"/>
    <n v="59.5"/>
  </r>
  <r>
    <x v="95"/>
    <x v="1"/>
    <x v="19"/>
    <x v="5"/>
    <s v="RLP - Troy"/>
    <s v="LT-1"/>
    <x v="0"/>
    <s v="2021-07-08T00:00:00"/>
    <s v="2021-07-15T00:00:00"/>
    <s v="2021-07-19T00:00:00"/>
    <s v="2021-07-15T00:00:00"/>
    <s v="2021-07-19T00:00:00"/>
    <n v="56"/>
    <s v="EA"/>
    <n v="6272"/>
    <s v="USD"/>
    <n v="1"/>
    <m/>
    <m/>
    <s v="http://lighttree.com/1000567437"/>
    <n v="112"/>
    <n v="133.28"/>
  </r>
  <r>
    <x v="96"/>
    <x v="1"/>
    <x v="18"/>
    <x v="5"/>
    <s v="Total Source - Waukesha"/>
    <s v="LT-1"/>
    <x v="0"/>
    <s v="2021-06-29T00:00:00"/>
    <s v="2021-07-06T00:00:00"/>
    <s v="2021-07-10T00:00:00"/>
    <s v="2021-07-06T00:00:00"/>
    <s v="2021-07-10T00:00:00"/>
    <n v="75"/>
    <s v="EA"/>
    <n v="62475"/>
    <s v="USD"/>
    <n v="1"/>
    <m/>
    <m/>
    <s v="http://lighttree.com/1000567443"/>
    <n v="833"/>
    <n v="991.27"/>
  </r>
  <r>
    <x v="97"/>
    <x v="1"/>
    <x v="2"/>
    <x v="5"/>
    <s v="Interalloy - Bozeman"/>
    <s v="LT-1"/>
    <x v="0"/>
    <s v="2021-06-16T00:00:00"/>
    <s v="2021-06-23T00:00:00"/>
    <s v="2021-06-27T00:00:00"/>
    <s v="2021-06-23T00:00:00"/>
    <s v="2021-06-27T00:00:00"/>
    <n v="512"/>
    <s v="EA"/>
    <n v="1536"/>
    <s v="USD"/>
    <n v="1"/>
    <m/>
    <m/>
    <s v="http://lighttree.com/1000567446"/>
    <n v="3"/>
    <n v="3.57"/>
  </r>
  <r>
    <x v="98"/>
    <x v="1"/>
    <x v="6"/>
    <x v="5"/>
    <s v="Amos - Philadelphia"/>
    <s v="LT-1"/>
    <x v="0"/>
    <s v="2021-06-16T00:00:00"/>
    <s v="2021-06-23T00:00:00"/>
    <s v="2021-06-27T00:00:00"/>
    <s v="2021-06-25T00:00:00"/>
    <s v="2021-06-29T00:00:00"/>
    <n v="512"/>
    <s v="EA"/>
    <n v="28160"/>
    <s v="USD"/>
    <n v="1"/>
    <m/>
    <m/>
    <s v="http://lighttree.com/1000567448"/>
    <n v="55"/>
    <n v="65.45"/>
  </r>
  <r>
    <x v="99"/>
    <x v="1"/>
    <x v="18"/>
    <x v="5"/>
    <s v="Total Source - Waukesha"/>
    <s v="LT-1"/>
    <x v="0"/>
    <s v="2021-07-15T00:00:00"/>
    <s v="2021-07-22T00:00:00"/>
    <s v="2021-07-26T00:00:00"/>
    <s v="2021-07-22T00:00:00"/>
    <m/>
    <n v="44"/>
    <s v="EA"/>
    <n v="36652"/>
    <s v="USD"/>
    <n v="1"/>
    <m/>
    <m/>
    <s v="http://lighttree.com/1000567450"/>
    <n v="833"/>
    <n v="991.27"/>
  </r>
  <r>
    <x v="100"/>
    <x v="1"/>
    <x v="13"/>
    <x v="5"/>
    <s v="Hardy - Salina"/>
    <s v="LT-1"/>
    <x v="0"/>
    <s v="2021-07-15T00:00:00"/>
    <s v="2021-07-22T00:00:00"/>
    <s v="2021-07-26T00:00:00"/>
    <s v="2021-07-24T00:00:00"/>
    <m/>
    <n v="44"/>
    <s v="EA"/>
    <n v="1056"/>
    <s v="USD"/>
    <n v="1"/>
    <m/>
    <m/>
    <s v="http://lighttree.com/1000567460"/>
    <n v="24"/>
    <n v="28.56"/>
  </r>
  <r>
    <x v="101"/>
    <x v="1"/>
    <x v="17"/>
    <x v="5"/>
    <s v="Gemini - Dallas"/>
    <s v="LT-1"/>
    <x v="0"/>
    <s v="2021-07-15T00:00:00"/>
    <s v="2021-07-22T00:00:00"/>
    <s v="2021-07-26T00:00:00"/>
    <s v="2021-07-22T00:00:00"/>
    <m/>
    <n v="44"/>
    <s v="EA"/>
    <n v="5368"/>
    <s v="USD"/>
    <n v="1"/>
    <m/>
    <m/>
    <s v="http://lighttree.com/1000567462"/>
    <n v="122"/>
    <n v="145.18"/>
  </r>
  <r>
    <x v="102"/>
    <x v="1"/>
    <x v="8"/>
    <x v="5"/>
    <s v="SilverOptics - Dover"/>
    <s v="LT-1"/>
    <x v="0"/>
    <s v="2021-06-29T00:00:00"/>
    <s v="2021-07-06T00:00:00"/>
    <s v="2021-07-10T00:00:00"/>
    <s v="2021-07-06T00:00:00"/>
    <s v="2021-07-10T00:00:00"/>
    <n v="75"/>
    <s v="EA"/>
    <n v="8100"/>
    <s v="USD"/>
    <n v="1"/>
    <m/>
    <m/>
    <s v="http://lighttree.com/1000567463"/>
    <n v="108"/>
    <n v="128.52000000000001"/>
  </r>
  <r>
    <x v="103"/>
    <x v="1"/>
    <x v="13"/>
    <x v="5"/>
    <s v="Hardy - Salina"/>
    <s v="LT-1"/>
    <x v="0"/>
    <s v="2021-06-16T00:00:00"/>
    <s v="2021-06-23T00:00:00"/>
    <s v="2021-06-27T00:00:00"/>
    <s v="2021-06-23T00:00:00"/>
    <s v="2021-06-27T00:00:00"/>
    <n v="512"/>
    <s v="EA"/>
    <n v="12288"/>
    <s v="USD"/>
    <n v="1"/>
    <m/>
    <m/>
    <s v="http://lighttree.com/1000567467"/>
    <n v="24"/>
    <n v="28.56"/>
  </r>
  <r>
    <x v="104"/>
    <x v="1"/>
    <x v="2"/>
    <x v="5"/>
    <s v="Interalloy - Bozeman"/>
    <s v="LT-1"/>
    <x v="0"/>
    <s v="2021-07-08T00:00:00"/>
    <s v="2021-07-15T00:00:00"/>
    <s v="2021-07-19T00:00:00"/>
    <s v="2021-07-15T00:00:00"/>
    <s v="2021-07-19T00:00:00"/>
    <n v="56"/>
    <s v="EA"/>
    <n v="168"/>
    <s v="USD"/>
    <n v="1"/>
    <m/>
    <m/>
    <s v="http://lighttree.com/1000567470"/>
    <n v="3"/>
    <n v="3.57"/>
  </r>
  <r>
    <x v="105"/>
    <x v="1"/>
    <x v="15"/>
    <x v="5"/>
    <s v="McGrey - Mt Sterling"/>
    <s v="LT-1"/>
    <x v="0"/>
    <s v="2021-06-16T00:00:00"/>
    <s v="2021-06-23T00:00:00"/>
    <s v="2021-06-27T00:00:00"/>
    <s v="2021-06-26T00:00:00"/>
    <s v="2021-06-30T00:00:00"/>
    <n v="512"/>
    <s v="EA"/>
    <n v="604160"/>
    <s v="USD"/>
    <n v="1"/>
    <m/>
    <m/>
    <s v="http://lighttree.com/1000567471"/>
    <n v="1180"/>
    <n v="1404.2"/>
  </r>
  <r>
    <x v="106"/>
    <x v="1"/>
    <x v="2"/>
    <x v="5"/>
    <s v="Interalloy - Bozeman"/>
    <s v="LT-1"/>
    <x v="0"/>
    <s v="2021-06-29T00:00:00"/>
    <s v="2021-07-06T00:00:00"/>
    <s v="2021-07-10T00:00:00"/>
    <s v="2021-07-06T00:00:00"/>
    <s v="2021-07-10T00:00:00"/>
    <n v="75"/>
    <s v="EA"/>
    <n v="225"/>
    <s v="USD"/>
    <n v="1"/>
    <m/>
    <m/>
    <s v="http://lighttree.com/1000567474"/>
    <n v="3"/>
    <n v="3.57"/>
  </r>
  <r>
    <x v="107"/>
    <x v="1"/>
    <x v="10"/>
    <x v="5"/>
    <s v="Ripley - Trenton"/>
    <s v="LT-1"/>
    <x v="0"/>
    <s v="2021-06-29T00:00:00"/>
    <s v="2021-07-06T00:00:00"/>
    <s v="2021-07-10T00:00:00"/>
    <s v="2021-07-06T00:00:00"/>
    <s v="2021-07-10T00:00:00"/>
    <n v="75"/>
    <s v="EA"/>
    <n v="26250"/>
    <s v="USD"/>
    <n v="1"/>
    <m/>
    <m/>
    <s v="http://lighttree.com/1000567475"/>
    <n v="350"/>
    <n v="416.5"/>
  </r>
  <r>
    <x v="108"/>
    <x v="1"/>
    <x v="7"/>
    <x v="5"/>
    <s v="SA - Loretto"/>
    <s v="LT-1"/>
    <x v="0"/>
    <s v="2021-07-08T00:00:00"/>
    <s v="2021-07-15T00:00:00"/>
    <s v="2021-07-19T00:00:00"/>
    <s v="2021-07-15T00:00:00"/>
    <s v="2021-07-19T00:00:00"/>
    <n v="56"/>
    <s v="EA"/>
    <n v="19600"/>
    <s v="USD"/>
    <n v="1"/>
    <m/>
    <m/>
    <s v="http://lighttree.com/1000567479"/>
    <n v="350"/>
    <n v="416.5"/>
  </r>
  <r>
    <x v="109"/>
    <x v="1"/>
    <x v="13"/>
    <x v="5"/>
    <s v="Hardy - Salina"/>
    <s v="LT-1"/>
    <x v="0"/>
    <s v="2021-07-08T00:00:00"/>
    <s v="2021-07-15T00:00:00"/>
    <s v="2021-07-19T00:00:00"/>
    <s v="2021-07-16T00:00:00"/>
    <s v="2021-07-18T00:00:00"/>
    <n v="56"/>
    <s v="EA"/>
    <n v="1344"/>
    <s v="USD"/>
    <n v="1"/>
    <m/>
    <m/>
    <s v="http://lighttree.com/1000567482"/>
    <n v="24"/>
    <n v="28.56"/>
  </r>
  <r>
    <x v="110"/>
    <x v="1"/>
    <x v="15"/>
    <x v="5"/>
    <s v="McGrey - Mt Sterling"/>
    <s v="LT-1"/>
    <x v="0"/>
    <s v="2021-07-15T00:00:00"/>
    <s v="2021-07-22T00:00:00"/>
    <s v="2021-07-26T00:00:00"/>
    <s v="2021-07-22T00:00:00"/>
    <m/>
    <n v="44"/>
    <s v="EA"/>
    <n v="56760"/>
    <s v="USD"/>
    <n v="1"/>
    <m/>
    <m/>
    <s v="http://lighttree.com/1000567486"/>
    <n v="1290"/>
    <n v="1535.1"/>
  </r>
  <r>
    <x v="111"/>
    <x v="1"/>
    <x v="10"/>
    <x v="5"/>
    <s v="Ripley - Trenton"/>
    <s v="LT-1"/>
    <x v="0"/>
    <s v="2021-06-16T00:00:00"/>
    <s v="2021-06-23T00:00:00"/>
    <s v="2021-06-27T00:00:00"/>
    <s v="2021-06-23T00:00:00"/>
    <s v="2021-06-27T00:00:00"/>
    <n v="124"/>
    <s v="EA"/>
    <n v="43400"/>
    <s v="USD"/>
    <n v="1"/>
    <m/>
    <m/>
    <s v="http://lighttree.com/1000567494"/>
    <n v="350"/>
    <n v="416.5"/>
  </r>
  <r>
    <x v="112"/>
    <x v="1"/>
    <x v="2"/>
    <x v="5"/>
    <s v="Interalloy - Bozeman"/>
    <s v="LT-1"/>
    <x v="0"/>
    <s v="2021-07-15T00:00:00"/>
    <s v="2021-07-22T00:00:00"/>
    <s v="2021-07-26T00:00:00"/>
    <s v="2021-07-21T00:00:00"/>
    <m/>
    <n v="44"/>
    <s v="EA"/>
    <n v="132"/>
    <s v="USD"/>
    <n v="1"/>
    <m/>
    <m/>
    <s v="http://lighttree.com/1000567497"/>
    <n v="3"/>
    <n v="3.57"/>
  </r>
  <r>
    <x v="113"/>
    <x v="1"/>
    <x v="15"/>
    <x v="5"/>
    <s v="McGrey - Mt Sterling"/>
    <s v="LT-1"/>
    <x v="0"/>
    <s v="2021-07-08T00:00:00"/>
    <s v="2021-07-15T00:00:00"/>
    <s v="2021-07-19T00:00:00"/>
    <s v="2021-07-15T00:00:00"/>
    <s v="2021-07-19T00:00:00"/>
    <n v="56"/>
    <s v="EA"/>
    <n v="66080"/>
    <s v="USD"/>
    <n v="1"/>
    <m/>
    <m/>
    <s v="http://lighttree.com/1000567500"/>
    <n v="1180"/>
    <n v="1404.2"/>
  </r>
  <r>
    <x v="114"/>
    <x v="1"/>
    <x v="18"/>
    <x v="5"/>
    <s v="Total Source - Waukesha"/>
    <s v="LT-2"/>
    <x v="0"/>
    <s v="2021-07-01T00:00:00"/>
    <s v="2021-08-04T00:00:00"/>
    <s v="2021-08-07T00:00:00"/>
    <s v="2021-08-04T00:00:00"/>
    <s v="2021-08-07T00:00:00"/>
    <n v="1400"/>
    <s v="EA"/>
    <n v="226800"/>
    <s v="USD"/>
    <n v="4"/>
    <m/>
    <m/>
    <s v="http://lighttree.com/100055000"/>
    <n v="162"/>
    <n v="192.78"/>
  </r>
  <r>
    <x v="115"/>
    <x v="1"/>
    <x v="18"/>
    <x v="5"/>
    <s v="Total Source - Waukesha"/>
    <s v="LT-2"/>
    <x v="0"/>
    <s v="2021-07-01T00:00:00"/>
    <s v="2021-08-14T00:00:00"/>
    <s v="2021-08-17T00:00:00"/>
    <s v="2021-08-14T00:00:00"/>
    <s v="2021-08-17T00:00:00"/>
    <n v="1400"/>
    <s v="EA"/>
    <n v="226800"/>
    <s v="USD"/>
    <n v="4"/>
    <m/>
    <m/>
    <s v="http://lighttree.com/100055001"/>
    <n v="162"/>
    <n v="192.78"/>
  </r>
  <r>
    <x v="116"/>
    <x v="1"/>
    <x v="18"/>
    <x v="5"/>
    <s v="Total Source - Waukesha"/>
    <s v="LT-2"/>
    <x v="0"/>
    <s v="2021-07-01T00:00:00"/>
    <s v="2021-08-24T00:00:00"/>
    <s v="2021-08-27T00:00:00"/>
    <s v="2021-08-24T00:00:00"/>
    <s v="2021-08-27T00:00:00"/>
    <n v="1400"/>
    <s v="EA"/>
    <n v="226800"/>
    <s v="USD"/>
    <n v="4"/>
    <m/>
    <m/>
    <s v="http://lighttree.com/100055002"/>
    <n v="162"/>
    <n v="192.78"/>
  </r>
  <r>
    <x v="117"/>
    <x v="1"/>
    <x v="18"/>
    <x v="5"/>
    <s v="Total Source - Waukesha"/>
    <s v="LT-2"/>
    <x v="0"/>
    <s v="2021-07-01T00:00:00"/>
    <s v="2021-09-03T00:00:00"/>
    <s v="2021-09-06T00:00:00"/>
    <s v="2021-09-04T00:00:00"/>
    <s v="2021-09-07T00:00:00"/>
    <n v="1400"/>
    <s v="EA"/>
    <n v="226800"/>
    <s v="USD"/>
    <n v="4"/>
    <m/>
    <m/>
    <s v="http://lighttree.com/100055003"/>
    <n v="162"/>
    <n v="192.78"/>
  </r>
  <r>
    <x v="118"/>
    <x v="1"/>
    <x v="18"/>
    <x v="5"/>
    <s v="Total Source - Waukesha"/>
    <s v="LT-2"/>
    <x v="0"/>
    <s v="2021-07-01T00:00:00"/>
    <s v="2021-09-13T00:00:00"/>
    <s v="2021-09-16T00:00:00"/>
    <s v="2021-09-09T00:00:00"/>
    <s v="2021-09-12T00:00:00"/>
    <n v="1400"/>
    <s v="EA"/>
    <n v="226800"/>
    <s v="USD"/>
    <n v="4"/>
    <m/>
    <m/>
    <s v="http://lighttree.com/100055004"/>
    <n v="162"/>
    <n v="192.78"/>
  </r>
  <r>
    <x v="119"/>
    <x v="1"/>
    <x v="18"/>
    <x v="5"/>
    <s v="Total Source - Waukesha"/>
    <s v="LT-2"/>
    <x v="0"/>
    <s v="2021-07-01T00:00:00"/>
    <s v="2021-09-23T00:00:00"/>
    <s v="2021-09-26T00:00:00"/>
    <s v="2021-09-23T00:00:00"/>
    <s v="2021-09-26T00:00:00"/>
    <n v="1400"/>
    <s v="EA"/>
    <n v="226800"/>
    <s v="USD"/>
    <n v="4"/>
    <m/>
    <m/>
    <s v="http://lighttree.com/100055005"/>
    <n v="162"/>
    <n v="192.78"/>
  </r>
  <r>
    <x v="120"/>
    <x v="1"/>
    <x v="12"/>
    <x v="5"/>
    <s v="F &amp; M - Columbus"/>
    <s v="LT-2"/>
    <x v="0"/>
    <s v="2021-07-01T00:00:00"/>
    <s v="2021-08-04T00:00:00"/>
    <s v="2021-08-07T00:00:00"/>
    <s v="2021-08-04T00:00:00"/>
    <s v="2021-08-07T00:00:00"/>
    <n v="1400"/>
    <s v="EA"/>
    <n v="109900"/>
    <s v="USD"/>
    <n v="4"/>
    <m/>
    <m/>
    <s v="http://lighttree.com/100055006"/>
    <n v="78.5"/>
    <n v="93.414999999999992"/>
  </r>
  <r>
    <x v="121"/>
    <x v="1"/>
    <x v="12"/>
    <x v="5"/>
    <s v="F &amp; M - Columbus"/>
    <s v="LT-2"/>
    <x v="0"/>
    <s v="2021-07-01T00:00:00"/>
    <s v="2021-08-14T00:00:00"/>
    <s v="2021-08-17T00:00:00"/>
    <s v="2021-08-14T00:00:00"/>
    <s v="2021-08-17T00:00:00"/>
    <n v="1400"/>
    <s v="EA"/>
    <n v="109900"/>
    <s v="USD"/>
    <n v="4"/>
    <m/>
    <m/>
    <s v="http://lighttree.com/100055007"/>
    <n v="78.5"/>
    <n v="93.414999999999992"/>
  </r>
  <r>
    <x v="122"/>
    <x v="1"/>
    <x v="12"/>
    <x v="5"/>
    <s v="F &amp; M - Columbus"/>
    <s v="LT-2"/>
    <x v="0"/>
    <s v="2021-07-01T00:00:00"/>
    <s v="2021-08-24T00:00:00"/>
    <s v="2021-08-27T00:00:00"/>
    <s v="2021-08-24T00:00:00"/>
    <s v="2021-08-27T00:00:00"/>
    <n v="1400"/>
    <s v="EA"/>
    <n v="109900"/>
    <s v="USD"/>
    <n v="4"/>
    <m/>
    <m/>
    <s v="http://lighttree.com/100055008"/>
    <n v="78.5"/>
    <n v="93.414999999999992"/>
  </r>
  <r>
    <x v="123"/>
    <x v="1"/>
    <x v="12"/>
    <x v="5"/>
    <s v="F &amp; M - Columbus"/>
    <s v="LT-2"/>
    <x v="0"/>
    <s v="2021-07-01T00:00:00"/>
    <s v="2021-09-03T00:00:00"/>
    <s v="2021-09-06T00:00:00"/>
    <s v="2021-09-04T00:00:00"/>
    <s v="2021-09-07T00:00:00"/>
    <n v="1400"/>
    <s v="EA"/>
    <n v="109900"/>
    <s v="USD"/>
    <n v="4"/>
    <m/>
    <m/>
    <s v="http://lighttree.com/100055009"/>
    <n v="78.5"/>
    <n v="93.414999999999992"/>
  </r>
  <r>
    <x v="124"/>
    <x v="1"/>
    <x v="12"/>
    <x v="5"/>
    <s v="F &amp; M - Columbus"/>
    <s v="LT-2"/>
    <x v="0"/>
    <s v="2021-07-01T00:00:00"/>
    <s v="2021-09-13T00:00:00"/>
    <s v="2021-09-16T00:00:00"/>
    <s v="2021-09-13T00:00:00"/>
    <s v="2021-09-16T00:00:00"/>
    <n v="1400"/>
    <s v="EA"/>
    <n v="109900"/>
    <s v="USD"/>
    <n v="4"/>
    <m/>
    <m/>
    <s v="http://lighttree.com/100055010"/>
    <n v="78.5"/>
    <n v="93.414999999999992"/>
  </r>
  <r>
    <x v="125"/>
    <x v="1"/>
    <x v="12"/>
    <x v="5"/>
    <s v="F &amp; M - Columbus"/>
    <s v="LT-2"/>
    <x v="0"/>
    <s v="2021-07-01T00:00:00"/>
    <s v="2021-09-23T00:00:00"/>
    <s v="2021-09-26T00:00:00"/>
    <s v="2021-09-23T00:00:00"/>
    <s v="2021-09-26T00:00:00"/>
    <n v="1400"/>
    <s v="EA"/>
    <n v="109900"/>
    <s v="USD"/>
    <n v="4"/>
    <m/>
    <m/>
    <s v="http://lighttree.com/100055011"/>
    <n v="78.5"/>
    <n v="93.414999999999992"/>
  </r>
  <r>
    <x v="126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320"/>
    <s v="EA"/>
    <n v="960"/>
    <s v="USD"/>
    <n v="1"/>
    <m/>
    <m/>
    <s v="http://lighttree.com/1000567200"/>
    <n v="3"/>
    <n v="3.57"/>
  </r>
  <r>
    <x v="127"/>
    <x v="1"/>
    <x v="3"/>
    <x v="5"/>
    <s v="Alumi-lux - Nashua"/>
    <s v="LT-2"/>
    <x v="0"/>
    <s v="2021-06-16T00:00:00"/>
    <s v="2021-06-23T00:00:00"/>
    <s v="2021-06-27T00:00:00"/>
    <s v="2021-06-23T00:00:00"/>
    <s v="2021-06-27T00:00:00"/>
    <n v="124"/>
    <s v="EA"/>
    <n v="56420"/>
    <s v="USD"/>
    <n v="1"/>
    <m/>
    <m/>
    <s v="http://lighttree.com/1000567204"/>
    <n v="455"/>
    <n v="541.44999999999993"/>
  </r>
  <r>
    <x v="128"/>
    <x v="1"/>
    <x v="3"/>
    <x v="5"/>
    <s v="Alumi-lux - Nashua"/>
    <s v="LT-2"/>
    <x v="0"/>
    <s v="2021-06-16T00:00:00"/>
    <s v="2021-06-23T00:00:00"/>
    <s v="2021-06-27T00:00:00"/>
    <s v="2021-06-23T00:00:00"/>
    <s v="2021-06-27T00:00:00"/>
    <n v="320"/>
    <s v="EA"/>
    <n v="145600"/>
    <s v="USD"/>
    <n v="1"/>
    <m/>
    <m/>
    <s v="http://lighttree.com/1000567205"/>
    <n v="455"/>
    <n v="541.44999999999993"/>
  </r>
  <r>
    <x v="129"/>
    <x v="1"/>
    <x v="4"/>
    <x v="5"/>
    <s v="EM - Hemphill"/>
    <s v="LT-2"/>
    <x v="0"/>
    <s v="2021-06-16T00:00:00"/>
    <s v="2021-06-23T00:00:00"/>
    <s v="2021-06-27T00:00:00"/>
    <s v="2021-06-23T00:00:00"/>
    <s v="2021-06-27T00:00:00"/>
    <n v="124"/>
    <s v="EA"/>
    <n v="2356"/>
    <s v="USD"/>
    <n v="1"/>
    <m/>
    <m/>
    <s v="http://lighttree.com/1000567207"/>
    <n v="19"/>
    <n v="22.61"/>
  </r>
  <r>
    <x v="130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320"/>
    <s v="EA"/>
    <n v="1600"/>
    <s v="USD"/>
    <n v="1"/>
    <m/>
    <m/>
    <s v="http://lighttree.com/1000567209"/>
    <n v="5"/>
    <n v="5.9499999999999993"/>
  </r>
  <r>
    <x v="131"/>
    <x v="1"/>
    <x v="15"/>
    <x v="5"/>
    <s v="McGrey - Mt Sterling"/>
    <s v="LT-2"/>
    <x v="0"/>
    <s v="2021-06-16T00:00:00"/>
    <s v="2021-06-23T00:00:00"/>
    <s v="2021-06-27T00:00:00"/>
    <s v="2021-06-23T00:00:00"/>
    <s v="2021-06-27T00:00:00"/>
    <n v="320"/>
    <s v="EA"/>
    <n v="316800"/>
    <s v="USD"/>
    <n v="1"/>
    <m/>
    <m/>
    <s v="http://lighttree.com/1000567210"/>
    <n v="990"/>
    <n v="1178.0999999999999"/>
  </r>
  <r>
    <x v="132"/>
    <x v="1"/>
    <x v="11"/>
    <x v="5"/>
    <s v="Mueller - Pittsburgh"/>
    <s v="LT-2"/>
    <x v="0"/>
    <s v="2021-06-16T00:00:00"/>
    <s v="2021-06-23T00:00:00"/>
    <s v="2021-06-27T00:00:00"/>
    <s v="2021-06-23T00:00:00"/>
    <s v="2021-06-27T00:00:00"/>
    <n v="124"/>
    <s v="EA"/>
    <n v="51088"/>
    <s v="USD"/>
    <n v="1"/>
    <m/>
    <m/>
    <s v="http://lighttree.com/1000567218"/>
    <n v="412"/>
    <n v="490.28"/>
  </r>
  <r>
    <x v="133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320"/>
    <s v="EA"/>
    <n v="960"/>
    <s v="USD"/>
    <n v="1"/>
    <m/>
    <m/>
    <s v="http://lighttree.com/1000567227"/>
    <n v="3"/>
    <n v="3.57"/>
  </r>
  <r>
    <x v="134"/>
    <x v="1"/>
    <x v="6"/>
    <x v="5"/>
    <s v="Amos - Philadelphia"/>
    <s v="LT-2"/>
    <x v="0"/>
    <s v="2021-06-16T00:00:00"/>
    <s v="2021-06-23T00:00:00"/>
    <s v="2021-06-27T00:00:00"/>
    <s v="2021-06-23T00:00:00"/>
    <s v="2021-06-27T00:00:00"/>
    <n v="320"/>
    <s v="EA"/>
    <n v="17600"/>
    <s v="USD"/>
    <n v="1"/>
    <m/>
    <m/>
    <s v="http://lighttree.com/1000567228"/>
    <n v="55"/>
    <n v="65.45"/>
  </r>
  <r>
    <x v="135"/>
    <x v="1"/>
    <x v="8"/>
    <x v="5"/>
    <s v="SilverOptics - Dover"/>
    <s v="LT-2"/>
    <x v="0"/>
    <s v="2021-06-16T00:00:00"/>
    <s v="2021-06-23T00:00:00"/>
    <s v="2021-06-27T00:00:00"/>
    <s v="2021-06-24T00:00:00"/>
    <s v="2021-06-28T00:00:00"/>
    <n v="124"/>
    <s v="EA"/>
    <n v="13392"/>
    <s v="USD"/>
    <n v="1"/>
    <m/>
    <m/>
    <s v="http://lighttree.com/1000567230"/>
    <n v="108"/>
    <n v="128.52000000000001"/>
  </r>
  <r>
    <x v="136"/>
    <x v="1"/>
    <x v="16"/>
    <x v="5"/>
    <s v="LightLens - Ipswich "/>
    <s v="LT-2"/>
    <x v="0"/>
    <s v="2021-06-16T00:00:00"/>
    <s v="2021-06-23T00:00:00"/>
    <s v="2021-06-27T00:00:00"/>
    <s v="2021-06-23T00:00:00"/>
    <s v="2021-06-27T00:00:00"/>
    <n v="320"/>
    <s v="EA"/>
    <n v="64960"/>
    <s v="USD"/>
    <n v="1"/>
    <m/>
    <m/>
    <s v="http://lighttree.com/1000567231"/>
    <n v="203"/>
    <n v="241.57"/>
  </r>
  <r>
    <x v="137"/>
    <x v="1"/>
    <x v="17"/>
    <x v="5"/>
    <s v="Gemini - Dallas"/>
    <s v="LT-2"/>
    <x v="0"/>
    <s v="2021-06-16T00:00:00"/>
    <s v="2021-06-23T00:00:00"/>
    <s v="2021-06-27T00:00:00"/>
    <s v="2021-06-23T00:00:00"/>
    <s v="2021-06-27T00:00:00"/>
    <n v="124"/>
    <s v="EA"/>
    <n v="15128"/>
    <s v="USD"/>
    <n v="1"/>
    <m/>
    <m/>
    <s v="http://lighttree.com/1000567232"/>
    <n v="122"/>
    <n v="145.18"/>
  </r>
  <r>
    <x v="138"/>
    <x v="1"/>
    <x v="2"/>
    <x v="5"/>
    <s v="Interalloy - Bozeman"/>
    <s v="LT-2"/>
    <x v="0"/>
    <s v="2021-06-16T00:00:00"/>
    <s v="2021-06-23T00:00:00"/>
    <s v="2021-06-27T00:00:00"/>
    <s v="2021-06-30T00:00:00"/>
    <s v="2021-07-04T00:00:00"/>
    <n v="124"/>
    <s v="EA"/>
    <n v="372"/>
    <s v="USD"/>
    <n v="1"/>
    <m/>
    <m/>
    <s v="http://lighttree.com/1000567238"/>
    <n v="3"/>
    <n v="3.57"/>
  </r>
  <r>
    <x v="139"/>
    <x v="1"/>
    <x v="20"/>
    <x v="5"/>
    <s v="Luminar - Palm Beach Gardens"/>
    <s v="LT-2"/>
    <x v="0"/>
    <s v="2021-06-16T00:00:00"/>
    <s v="2021-06-23T00:00:00"/>
    <s v="2021-06-27T00:00:00"/>
    <s v="2021-06-23T00:00:00"/>
    <s v="2021-06-27T00:00:00"/>
    <n v="124"/>
    <s v="EA"/>
    <n v="117800"/>
    <s v="USD"/>
    <n v="1"/>
    <m/>
    <m/>
    <s v="http://lighttree.com/1000567242"/>
    <n v="950"/>
    <n v="1130.5"/>
  </r>
  <r>
    <x v="140"/>
    <x v="1"/>
    <x v="1"/>
    <x v="5"/>
    <s v="Flexilux - Worcester"/>
    <s v="LT-2"/>
    <x v="0"/>
    <s v="2021-06-16T00:00:00"/>
    <s v="2021-06-23T00:00:00"/>
    <s v="2021-06-27T00:00:00"/>
    <s v="2021-06-23T00:00:00"/>
    <s v="2021-06-27T00:00:00"/>
    <n v="320"/>
    <s v="EA"/>
    <n v="1769600"/>
    <s v="USD"/>
    <n v="1"/>
    <m/>
    <m/>
    <s v="http://lighttree.com/1000567256"/>
    <n v="5530"/>
    <n v="6580.7"/>
  </r>
  <r>
    <x v="141"/>
    <x v="1"/>
    <x v="1"/>
    <x v="5"/>
    <s v="Flexilux - Worcester"/>
    <s v="LT-2"/>
    <x v="0"/>
    <s v="2021-06-16T00:00:00"/>
    <s v="2021-06-23T00:00:00"/>
    <s v="2021-06-27T00:00:00"/>
    <s v="2021-06-23T00:00:00"/>
    <s v="2021-06-27T00:00:00"/>
    <n v="124"/>
    <s v="EA"/>
    <n v="569408"/>
    <s v="USD"/>
    <n v="1"/>
    <m/>
    <m/>
    <s v="http://lighttree.com/1000567257"/>
    <n v="4592"/>
    <n v="5464.48"/>
  </r>
  <r>
    <x v="142"/>
    <x v="1"/>
    <x v="19"/>
    <x v="5"/>
    <s v="RLP - Troy"/>
    <s v="LT-2"/>
    <x v="0"/>
    <s v="2021-06-16T00:00:00"/>
    <s v="2021-06-23T00:00:00"/>
    <s v="2021-06-27T00:00:00"/>
    <s v="2021-06-23T00:00:00"/>
    <s v="2021-06-27T00:00:00"/>
    <n v="320"/>
    <s v="EA"/>
    <n v="60480"/>
    <s v="USD"/>
    <n v="1"/>
    <m/>
    <m/>
    <s v="http://lighttree.com/1000567259"/>
    <n v="189"/>
    <n v="224.91"/>
  </r>
  <r>
    <x v="143"/>
    <x v="1"/>
    <x v="3"/>
    <x v="5"/>
    <s v="Alumi-lux - Nashua"/>
    <s v="LT-2"/>
    <x v="0"/>
    <s v="2021-06-16T00:00:00"/>
    <s v="2021-06-23T00:00:00"/>
    <s v="2021-06-27T00:00:00"/>
    <s v="2021-06-23T00:00:00"/>
    <s v="2021-06-27T00:00:00"/>
    <n v="320"/>
    <s v="EA"/>
    <n v="145600"/>
    <s v="USD"/>
    <n v="1"/>
    <m/>
    <m/>
    <s v="http://lighttree.com/1000567261"/>
    <n v="455"/>
    <n v="541.44999999999993"/>
  </r>
  <r>
    <x v="144"/>
    <x v="1"/>
    <x v="12"/>
    <x v="5"/>
    <s v="F &amp; M - Columbus"/>
    <s v="LT-2"/>
    <x v="0"/>
    <s v="2021-06-16T00:00:00"/>
    <s v="2021-06-23T00:00:00"/>
    <s v="2021-06-27T00:00:00"/>
    <s v="2021-06-25T00:00:00"/>
    <s v="2021-06-29T00:00:00"/>
    <n v="320"/>
    <s v="EA"/>
    <n v="16000"/>
    <s v="USD"/>
    <n v="1"/>
    <m/>
    <m/>
    <s v="http://lighttree.com/1000567266"/>
    <n v="50"/>
    <n v="59.5"/>
  </r>
  <r>
    <x v="145"/>
    <x v="1"/>
    <x v="16"/>
    <x v="5"/>
    <s v="LightLens - Ipswich "/>
    <s v="LT-2"/>
    <x v="0"/>
    <s v="2021-06-16T00:00:00"/>
    <s v="2021-06-23T00:00:00"/>
    <s v="2021-06-27T00:00:00"/>
    <s v="2021-06-23T00:00:00"/>
    <s v="2021-06-27T00:00:00"/>
    <n v="320"/>
    <s v="EA"/>
    <n v="64960"/>
    <s v="USD"/>
    <n v="1"/>
    <m/>
    <m/>
    <s v="http://lighttree.com/1000567274"/>
    <n v="203"/>
    <n v="241.57"/>
  </r>
  <r>
    <x v="146"/>
    <x v="1"/>
    <x v="1"/>
    <x v="5"/>
    <s v="Flexilux - Worcester"/>
    <s v="LT-2"/>
    <x v="0"/>
    <s v="2021-06-16T00:00:00"/>
    <s v="2021-06-23T00:00:00"/>
    <s v="2021-06-27T00:00:00"/>
    <s v="2021-06-23T00:00:00"/>
    <s v="2021-06-27T00:00:00"/>
    <n v="320"/>
    <s v="EA"/>
    <n v="1769600"/>
    <s v="USD"/>
    <n v="1"/>
    <m/>
    <m/>
    <s v="http://lighttree.com/1000567276"/>
    <n v="5530"/>
    <n v="6580.7"/>
  </r>
  <r>
    <x v="147"/>
    <x v="1"/>
    <x v="9"/>
    <x v="5"/>
    <s v="Brewers - Phoenix"/>
    <s v="LT-2"/>
    <x v="0"/>
    <s v="2021-06-16T00:00:00"/>
    <s v="2021-06-23T00:00:00"/>
    <s v="2021-06-27T00:00:00"/>
    <s v="2021-06-23T00:00:00"/>
    <s v="2021-06-27T00:00:00"/>
    <n v="320"/>
    <s v="EA"/>
    <n v="411840"/>
    <s v="USD"/>
    <n v="1"/>
    <m/>
    <m/>
    <s v="http://lighttree.com/1000567278"/>
    <n v="1287"/>
    <n v="1531.53"/>
  </r>
  <r>
    <x v="148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124"/>
    <s v="EA"/>
    <n v="372"/>
    <s v="USD"/>
    <n v="1"/>
    <m/>
    <m/>
    <s v="http://lighttree.com/1000567279"/>
    <n v="3"/>
    <n v="3.57"/>
  </r>
  <r>
    <x v="149"/>
    <x v="1"/>
    <x v="17"/>
    <x v="5"/>
    <s v="Gemini - Dallas"/>
    <s v="LT-2"/>
    <x v="0"/>
    <s v="2021-06-16T00:00:00"/>
    <s v="2021-06-23T00:00:00"/>
    <s v="2021-06-27T00:00:00"/>
    <s v="2021-06-27T00:00:00"/>
    <s v="2021-07-01T00:00:00"/>
    <n v="320"/>
    <s v="EA"/>
    <n v="39040"/>
    <s v="USD"/>
    <n v="1"/>
    <m/>
    <m/>
    <s v="http://lighttree.com/1000567283"/>
    <n v="122"/>
    <n v="145.18"/>
  </r>
  <r>
    <x v="150"/>
    <x v="1"/>
    <x v="12"/>
    <x v="5"/>
    <s v="F &amp; M - Columbus"/>
    <s v="LT-2"/>
    <x v="0"/>
    <s v="2021-06-16T00:00:00"/>
    <s v="2021-06-23T00:00:00"/>
    <s v="2021-06-27T00:00:00"/>
    <s v="2021-06-23T00:00:00"/>
    <s v="2021-06-27T00:00:00"/>
    <n v="320"/>
    <s v="EA"/>
    <n v="16000"/>
    <s v="USD"/>
    <n v="1"/>
    <m/>
    <m/>
    <s v="http://lighttree.com/1000567291"/>
    <n v="50"/>
    <n v="59.5"/>
  </r>
  <r>
    <x v="151"/>
    <x v="1"/>
    <x v="18"/>
    <x v="5"/>
    <s v="Total Source - Waukesha"/>
    <s v="LT-2"/>
    <x v="0"/>
    <s v="2021-06-16T00:00:00"/>
    <s v="2021-06-23T00:00:00"/>
    <s v="2021-06-27T00:00:00"/>
    <s v="2021-06-23T00:00:00"/>
    <s v="2021-06-27T00:00:00"/>
    <n v="320"/>
    <s v="EA"/>
    <n v="312320"/>
    <s v="USD"/>
    <n v="1"/>
    <m/>
    <m/>
    <s v="http://lighttree.com/1000567292"/>
    <n v="976"/>
    <n v="1161.44"/>
  </r>
  <r>
    <x v="152"/>
    <x v="1"/>
    <x v="13"/>
    <x v="5"/>
    <s v="Hardy - Salina"/>
    <s v="LT-2"/>
    <x v="0"/>
    <s v="2021-06-16T00:00:00"/>
    <s v="2021-06-23T00:00:00"/>
    <s v="2021-06-27T00:00:00"/>
    <s v="2021-06-23T00:00:00"/>
    <s v="2021-06-27T00:00:00"/>
    <n v="320"/>
    <s v="EA"/>
    <n v="7680"/>
    <s v="USD"/>
    <n v="1"/>
    <m/>
    <m/>
    <s v="http://lighttree.com/1000567295"/>
    <n v="24"/>
    <n v="28.56"/>
  </r>
  <r>
    <x v="153"/>
    <x v="1"/>
    <x v="5"/>
    <x v="5"/>
    <s v="Thermal - Cincinnati"/>
    <s v="LT-2"/>
    <x v="0"/>
    <s v="2021-06-16T00:00:00"/>
    <s v="2021-06-23T00:00:00"/>
    <s v="2021-06-27T00:00:00"/>
    <s v="2021-06-23T00:00:00"/>
    <s v="2021-06-27T00:00:00"/>
    <n v="124"/>
    <s v="EA"/>
    <n v="6820"/>
    <s v="USD"/>
    <n v="1"/>
    <m/>
    <m/>
    <s v="http://lighttree.com/1000567296"/>
    <n v="55"/>
    <n v="65.45"/>
  </r>
  <r>
    <x v="154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124"/>
    <s v="EA"/>
    <n v="372"/>
    <s v="USD"/>
    <n v="1"/>
    <m/>
    <m/>
    <s v="http://lighttree.com/1000567308"/>
    <n v="3"/>
    <n v="3.57"/>
  </r>
  <r>
    <x v="155"/>
    <x v="1"/>
    <x v="4"/>
    <x v="5"/>
    <s v="EM - Hemphill"/>
    <s v="LT-2"/>
    <x v="0"/>
    <s v="2021-06-16T00:00:00"/>
    <s v="2021-06-23T00:00:00"/>
    <s v="2021-06-27T00:00:00"/>
    <s v="2021-06-23T00:00:00"/>
    <s v="2021-06-27T00:00:00"/>
    <n v="124"/>
    <s v="EA"/>
    <n v="2356"/>
    <s v="USD"/>
    <n v="1"/>
    <m/>
    <m/>
    <s v="http://lighttree.com/1000567312"/>
    <n v="19"/>
    <n v="22.61"/>
  </r>
  <r>
    <x v="156"/>
    <x v="1"/>
    <x v="18"/>
    <x v="5"/>
    <s v="Total Source - Waukesha"/>
    <s v="LT-2"/>
    <x v="0"/>
    <s v="2021-06-16T00:00:00"/>
    <s v="2021-06-23T00:00:00"/>
    <s v="2021-06-27T00:00:00"/>
    <s v="2021-06-23T00:00:00"/>
    <s v="2021-06-27T00:00:00"/>
    <n v="124"/>
    <s v="EA"/>
    <n v="121024"/>
    <s v="USD"/>
    <n v="1"/>
    <m/>
    <m/>
    <s v="http://lighttree.com/1000567314"/>
    <n v="976"/>
    <n v="1161.44"/>
  </r>
  <r>
    <x v="157"/>
    <x v="1"/>
    <x v="8"/>
    <x v="5"/>
    <s v="SilverOptics - Dover"/>
    <s v="LT-2"/>
    <x v="0"/>
    <s v="2021-06-16T00:00:00"/>
    <s v="2021-06-23T00:00:00"/>
    <s v="2021-06-27T00:00:00"/>
    <s v="2021-06-23T00:00:00"/>
    <s v="2021-06-27T00:00:00"/>
    <n v="320"/>
    <s v="EA"/>
    <n v="34560"/>
    <s v="USD"/>
    <n v="1"/>
    <m/>
    <m/>
    <s v="http://lighttree.com/1000567315"/>
    <n v="108"/>
    <n v="128.52000000000001"/>
  </r>
  <r>
    <x v="158"/>
    <x v="1"/>
    <x v="17"/>
    <x v="5"/>
    <s v="Gemini - Dallas"/>
    <s v="LT-2"/>
    <x v="0"/>
    <s v="2021-06-16T00:00:00"/>
    <s v="2021-06-23T00:00:00"/>
    <s v="2021-06-27T00:00:00"/>
    <s v="2021-06-23T00:00:00"/>
    <s v="2021-06-27T00:00:00"/>
    <n v="320"/>
    <s v="EA"/>
    <n v="39040"/>
    <s v="USD"/>
    <n v="1"/>
    <m/>
    <m/>
    <s v="http://lighttree.com/1000567319"/>
    <n v="122"/>
    <n v="145.18"/>
  </r>
  <r>
    <x v="159"/>
    <x v="1"/>
    <x v="9"/>
    <x v="5"/>
    <s v="Brewers - Phoenix"/>
    <s v="LT-2"/>
    <x v="0"/>
    <s v="2021-06-16T00:00:00"/>
    <s v="2021-06-23T00:00:00"/>
    <s v="2021-06-27T00:00:00"/>
    <s v="2021-06-23T00:00:00"/>
    <s v="2021-06-27T00:00:00"/>
    <n v="320"/>
    <s v="EA"/>
    <n v="411840"/>
    <s v="USD"/>
    <n v="1"/>
    <m/>
    <m/>
    <s v="http://lighttree.com/1000567321"/>
    <n v="1287"/>
    <n v="1531.53"/>
  </r>
  <r>
    <x v="160"/>
    <x v="1"/>
    <x v="11"/>
    <x v="5"/>
    <s v="Mueller - Pittsburgh"/>
    <s v="LT-2"/>
    <x v="0"/>
    <s v="2021-06-16T00:00:00"/>
    <s v="2021-06-23T00:00:00"/>
    <s v="2021-06-27T00:00:00"/>
    <s v="2021-06-23T00:00:00"/>
    <s v="2021-06-27T00:00:00"/>
    <n v="320"/>
    <s v="EA"/>
    <n v="135040"/>
    <s v="USD"/>
    <n v="1"/>
    <m/>
    <m/>
    <s v="http://lighttree.com/1000567327"/>
    <n v="422"/>
    <n v="502.17999999999989"/>
  </r>
  <r>
    <x v="161"/>
    <x v="1"/>
    <x v="15"/>
    <x v="5"/>
    <s v="McGrey - Mt Sterling"/>
    <s v="LT-2"/>
    <x v="0"/>
    <s v="2021-06-16T00:00:00"/>
    <s v="2021-06-23T00:00:00"/>
    <s v="2021-06-27T00:00:00"/>
    <s v="2021-06-23T00:00:00"/>
    <s v="2021-06-27T00:00:00"/>
    <n v="124"/>
    <s v="EA"/>
    <n v="180048"/>
    <s v="USD"/>
    <n v="1"/>
    <m/>
    <m/>
    <s v="http://lighttree.com/1000567336"/>
    <n v="1452"/>
    <n v="1727.88"/>
  </r>
  <r>
    <x v="162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320"/>
    <s v="EA"/>
    <n v="960"/>
    <s v="USD"/>
    <n v="1"/>
    <m/>
    <m/>
    <s v="http://lighttree.com/1000567346"/>
    <n v="3"/>
    <n v="3.57"/>
  </r>
  <r>
    <x v="163"/>
    <x v="1"/>
    <x v="18"/>
    <x v="5"/>
    <s v="Total Source - Waukesha"/>
    <s v="LT-2"/>
    <x v="0"/>
    <s v="2021-06-16T00:00:00"/>
    <s v="2021-06-23T00:00:00"/>
    <s v="2021-06-27T00:00:00"/>
    <s v="2021-06-23T00:00:00"/>
    <s v="2021-06-27T00:00:00"/>
    <n v="124"/>
    <s v="EA"/>
    <n v="121024"/>
    <s v="USD"/>
    <n v="1"/>
    <m/>
    <m/>
    <s v="http://lighttree.com/1000567351"/>
    <n v="976"/>
    <n v="1161.44"/>
  </r>
  <r>
    <x v="164"/>
    <x v="1"/>
    <x v="11"/>
    <x v="5"/>
    <s v="Mueller - Pittsburgh"/>
    <s v="LT-2"/>
    <x v="0"/>
    <s v="2021-06-16T00:00:00"/>
    <s v="2021-06-23T00:00:00"/>
    <s v="2021-06-27T00:00:00"/>
    <s v="2021-06-23T00:00:00"/>
    <s v="2021-06-27T00:00:00"/>
    <n v="320"/>
    <s v="EA"/>
    <n v="135040"/>
    <s v="USD"/>
    <n v="1"/>
    <m/>
    <m/>
    <s v="http://lighttree.com/1000567364"/>
    <n v="422"/>
    <n v="502.17999999999989"/>
  </r>
  <r>
    <x v="165"/>
    <x v="1"/>
    <x v="4"/>
    <x v="5"/>
    <s v="EM - Hemphill"/>
    <s v="LT-2"/>
    <x v="0"/>
    <s v="2021-06-16T00:00:00"/>
    <s v="2021-06-23T00:00:00"/>
    <s v="2021-06-27T00:00:00"/>
    <s v="2021-06-23T00:00:00"/>
    <s v="2021-06-27T00:00:00"/>
    <n v="320"/>
    <s v="EA"/>
    <n v="6080"/>
    <s v="USD"/>
    <n v="1"/>
    <m/>
    <m/>
    <s v="http://lighttree.com/1000567374"/>
    <n v="19"/>
    <n v="22.61"/>
  </r>
  <r>
    <x v="166"/>
    <x v="1"/>
    <x v="10"/>
    <x v="5"/>
    <s v="Ripley - Trenton"/>
    <s v="LT-2"/>
    <x v="0"/>
    <s v="2021-06-16T00:00:00"/>
    <s v="2021-06-23T00:00:00"/>
    <s v="2021-06-27T00:00:00"/>
    <s v="2021-06-23T00:00:00"/>
    <s v="2021-06-27T00:00:00"/>
    <n v="320"/>
    <s v="EA"/>
    <n v="112000"/>
    <s v="USD"/>
    <n v="1"/>
    <m/>
    <m/>
    <s v="http://lighttree.com/1000567376"/>
    <n v="350"/>
    <n v="416.5"/>
  </r>
  <r>
    <x v="167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124"/>
    <s v="EA"/>
    <n v="620"/>
    <s v="USD"/>
    <n v="1"/>
    <m/>
    <m/>
    <s v="http://lighttree.com/1000567378"/>
    <n v="5"/>
    <n v="5.9499999999999993"/>
  </r>
  <r>
    <x v="168"/>
    <x v="1"/>
    <x v="2"/>
    <x v="5"/>
    <s v="Interalloy - Bozeman"/>
    <s v="LT-2"/>
    <x v="0"/>
    <s v="2021-06-16T00:00:00"/>
    <s v="2021-06-23T00:00:00"/>
    <s v="2021-06-27T00:00:00"/>
    <s v="2021-06-25T00:00:00"/>
    <s v="2021-06-29T00:00:00"/>
    <n v="124"/>
    <s v="EA"/>
    <n v="372"/>
    <s v="USD"/>
    <n v="1"/>
    <m/>
    <m/>
    <s v="http://lighttree.com/1000567383"/>
    <n v="3"/>
    <n v="3.57"/>
  </r>
  <r>
    <x v="169"/>
    <x v="1"/>
    <x v="13"/>
    <x v="5"/>
    <s v="Hardy - Salina"/>
    <s v="LT-2"/>
    <x v="0"/>
    <s v="2021-06-16T00:00:00"/>
    <s v="2021-06-23T00:00:00"/>
    <s v="2021-06-27T00:00:00"/>
    <s v="2021-06-23T00:00:00"/>
    <s v="2021-06-27T00:00:00"/>
    <n v="124"/>
    <s v="EA"/>
    <n v="2976"/>
    <s v="USD"/>
    <n v="1"/>
    <m/>
    <m/>
    <s v="http://lighttree.com/1000567387"/>
    <n v="24"/>
    <n v="28.56"/>
  </r>
  <r>
    <x v="170"/>
    <x v="1"/>
    <x v="17"/>
    <x v="5"/>
    <s v="Gemini - Dallas"/>
    <s v="LT-2"/>
    <x v="0"/>
    <s v="2021-06-16T00:00:00"/>
    <s v="2021-06-23T00:00:00"/>
    <s v="2021-06-27T00:00:00"/>
    <s v="2021-06-23T00:00:00"/>
    <s v="2021-06-27T00:00:00"/>
    <n v="124"/>
    <s v="EA"/>
    <n v="15128"/>
    <s v="USD"/>
    <n v="1"/>
    <m/>
    <m/>
    <s v="http://lighttree.com/1000567392"/>
    <n v="122"/>
    <n v="145.18"/>
  </r>
  <r>
    <x v="171"/>
    <x v="1"/>
    <x v="11"/>
    <x v="5"/>
    <s v="Mueller - Pittsburgh"/>
    <s v="LT-2"/>
    <x v="0"/>
    <s v="2021-06-16T00:00:00"/>
    <s v="2021-06-23T00:00:00"/>
    <s v="2021-06-27T00:00:00"/>
    <s v="2021-06-23T00:00:00"/>
    <s v="2021-06-27T00:00:00"/>
    <n v="124"/>
    <s v="EA"/>
    <n v="52328"/>
    <s v="USD"/>
    <n v="1"/>
    <m/>
    <m/>
    <s v="http://lighttree.com/1000567397"/>
    <n v="422"/>
    <n v="502.17999999999989"/>
  </r>
  <r>
    <x v="172"/>
    <x v="1"/>
    <x v="11"/>
    <x v="5"/>
    <s v="Mueller - Pittsburgh"/>
    <s v="LT-2"/>
    <x v="0"/>
    <s v="2021-06-16T00:00:00"/>
    <s v="2021-06-23T00:00:00"/>
    <s v="2021-06-27T00:00:00"/>
    <s v="2021-06-23T00:00:00"/>
    <s v="2021-06-27T00:00:00"/>
    <n v="320"/>
    <s v="EA"/>
    <n v="131840"/>
    <s v="USD"/>
    <n v="1"/>
    <m/>
    <m/>
    <s v="http://lighttree.com/1000567399"/>
    <n v="412"/>
    <n v="490.28"/>
  </r>
  <r>
    <x v="173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320"/>
    <s v="EA"/>
    <n v="960"/>
    <s v="USD"/>
    <n v="1"/>
    <m/>
    <m/>
    <s v="http://lighttree.com/1000567405"/>
    <n v="3"/>
    <n v="3.57"/>
  </r>
  <r>
    <x v="174"/>
    <x v="1"/>
    <x v="19"/>
    <x v="5"/>
    <s v="RLP - Troy"/>
    <s v="LT-2"/>
    <x v="0"/>
    <s v="2021-06-16T00:00:00"/>
    <s v="2021-06-23T00:00:00"/>
    <s v="2021-06-27T00:00:00"/>
    <s v="2021-06-23T00:00:00"/>
    <s v="2021-06-27T00:00:00"/>
    <n v="320"/>
    <s v="EA"/>
    <n v="60480"/>
    <s v="USD"/>
    <n v="1"/>
    <m/>
    <m/>
    <s v="http://lighttree.com/1000567415"/>
    <n v="189"/>
    <n v="224.91"/>
  </r>
  <r>
    <x v="175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320"/>
    <s v="EA"/>
    <n v="1600"/>
    <s v="USD"/>
    <n v="1"/>
    <m/>
    <m/>
    <s v="http://lighttree.com/1000567416"/>
    <n v="5"/>
    <n v="5.9499999999999993"/>
  </r>
  <r>
    <x v="176"/>
    <x v="1"/>
    <x v="13"/>
    <x v="5"/>
    <s v="Hardy - Salina"/>
    <s v="LT-2"/>
    <x v="0"/>
    <s v="2021-06-16T00:00:00"/>
    <s v="2021-06-23T00:00:00"/>
    <s v="2021-06-27T00:00:00"/>
    <s v="2021-06-23T00:00:00"/>
    <s v="2021-06-27T00:00:00"/>
    <n v="124"/>
    <s v="EA"/>
    <n v="2976"/>
    <s v="USD"/>
    <n v="1"/>
    <m/>
    <m/>
    <s v="http://lighttree.com/1000567417"/>
    <n v="24"/>
    <n v="28.56"/>
  </r>
  <r>
    <x v="177"/>
    <x v="1"/>
    <x v="16"/>
    <x v="5"/>
    <s v="LightLens - Ipswich "/>
    <s v="LT-2"/>
    <x v="0"/>
    <s v="2021-06-16T00:00:00"/>
    <s v="2021-06-23T00:00:00"/>
    <s v="2021-06-27T00:00:00"/>
    <s v="2021-06-23T00:00:00"/>
    <s v="2021-06-27T00:00:00"/>
    <n v="124"/>
    <s v="EA"/>
    <n v="25172"/>
    <s v="USD"/>
    <n v="1"/>
    <m/>
    <m/>
    <s v="http://lighttree.com/1000567419"/>
    <n v="203"/>
    <n v="241.57"/>
  </r>
  <r>
    <x v="178"/>
    <x v="1"/>
    <x v="10"/>
    <x v="5"/>
    <s v="Ripley - Trenton"/>
    <s v="LT-2"/>
    <x v="0"/>
    <s v="2021-06-16T00:00:00"/>
    <s v="2021-06-23T00:00:00"/>
    <s v="2021-06-27T00:00:00"/>
    <s v="2021-06-23T00:00:00"/>
    <s v="2021-06-27T00:00:00"/>
    <n v="124"/>
    <s v="EA"/>
    <n v="43400"/>
    <s v="USD"/>
    <n v="1"/>
    <m/>
    <m/>
    <s v="http://lighttree.com/1000567423"/>
    <n v="350"/>
    <n v="416.5"/>
  </r>
  <r>
    <x v="179"/>
    <x v="1"/>
    <x v="9"/>
    <x v="5"/>
    <s v="Brewers - Phoenix"/>
    <s v="LT-2"/>
    <x v="0"/>
    <s v="2021-06-16T00:00:00"/>
    <s v="2021-06-23T00:00:00"/>
    <s v="2021-06-27T00:00:00"/>
    <s v="2021-06-23T00:00:00"/>
    <s v="2021-06-27T00:00:00"/>
    <n v="124"/>
    <s v="EA"/>
    <n v="159588"/>
    <s v="USD"/>
    <n v="1"/>
    <m/>
    <m/>
    <s v="http://lighttree.com/1000567424"/>
    <n v="1287"/>
    <n v="1531.53"/>
  </r>
  <r>
    <x v="180"/>
    <x v="1"/>
    <x v="8"/>
    <x v="5"/>
    <s v="SilverOptics - Dover"/>
    <s v="LT-2"/>
    <x v="0"/>
    <s v="2021-06-16T00:00:00"/>
    <s v="2021-06-23T00:00:00"/>
    <s v="2021-06-27T00:00:00"/>
    <s v="2021-06-23T00:00:00"/>
    <s v="2021-06-27T00:00:00"/>
    <n v="320"/>
    <s v="EA"/>
    <n v="34560"/>
    <s v="USD"/>
    <n v="1"/>
    <m/>
    <m/>
    <s v="http://lighttree.com/1000567425"/>
    <n v="108"/>
    <n v="128.52000000000001"/>
  </r>
  <r>
    <x v="181"/>
    <x v="1"/>
    <x v="2"/>
    <x v="5"/>
    <s v="Interalloy - Bozeman"/>
    <s v="LT-2"/>
    <x v="0"/>
    <s v="2021-06-16T00:00:00"/>
    <s v="2021-06-23T00:00:00"/>
    <s v="2021-06-27T00:00:00"/>
    <s v="2021-06-23T00:00:00"/>
    <s v="2021-06-27T00:00:00"/>
    <n v="124"/>
    <s v="EA"/>
    <n v="620"/>
    <s v="USD"/>
    <n v="1"/>
    <m/>
    <m/>
    <s v="http://lighttree.com/1000567428"/>
    <n v="5"/>
    <n v="5.9499999999999993"/>
  </r>
  <r>
    <x v="182"/>
    <x v="1"/>
    <x v="10"/>
    <x v="5"/>
    <s v="Ripley - Trenton"/>
    <s v="LT-2"/>
    <x v="0"/>
    <s v="2021-06-16T00:00:00"/>
    <s v="2021-06-23T00:00:00"/>
    <s v="2021-06-27T00:00:00"/>
    <s v="2021-06-23T00:00:00"/>
    <s v="2021-06-27T00:00:00"/>
    <n v="320"/>
    <s v="EA"/>
    <n v="112000"/>
    <s v="USD"/>
    <n v="1"/>
    <m/>
    <m/>
    <s v="http://lighttree.com/1000567430"/>
    <n v="350"/>
    <n v="416.5"/>
  </r>
  <r>
    <x v="183"/>
    <x v="1"/>
    <x v="16"/>
    <x v="5"/>
    <s v="LightLens - Ipswich "/>
    <s v="LT-2"/>
    <x v="0"/>
    <s v="2021-06-16T00:00:00"/>
    <s v="2021-06-23T00:00:00"/>
    <s v="2021-06-27T00:00:00"/>
    <s v="2021-06-23T00:00:00"/>
    <s v="2021-06-27T00:00:00"/>
    <n v="124"/>
    <s v="EA"/>
    <n v="25172"/>
    <s v="USD"/>
    <n v="1"/>
    <m/>
    <m/>
    <s v="http://lighttree.com/1000567438"/>
    <n v="203"/>
    <n v="241.57"/>
  </r>
  <r>
    <x v="184"/>
    <x v="1"/>
    <x v="12"/>
    <x v="5"/>
    <s v="F &amp; M - Columbus"/>
    <s v="LT-2"/>
    <x v="0"/>
    <s v="2021-06-16T00:00:00"/>
    <s v="2021-06-23T00:00:00"/>
    <s v="2021-06-27T00:00:00"/>
    <s v="2021-06-23T00:00:00"/>
    <s v="2021-06-27T00:00:00"/>
    <n v="124"/>
    <s v="EA"/>
    <n v="6200"/>
    <s v="USD"/>
    <n v="1"/>
    <m/>
    <m/>
    <s v="http://lighttree.com/1000567442"/>
    <n v="50"/>
    <n v="59.5"/>
  </r>
  <r>
    <x v="185"/>
    <x v="1"/>
    <x v="6"/>
    <x v="5"/>
    <s v="Amos - Philadelphia"/>
    <s v="LT-2"/>
    <x v="0"/>
    <s v="2021-06-16T00:00:00"/>
    <s v="2021-06-23T00:00:00"/>
    <s v="2021-06-27T00:00:00"/>
    <s v="2021-06-23T00:00:00"/>
    <s v="2021-06-27T00:00:00"/>
    <n v="124"/>
    <s v="EA"/>
    <n v="6820"/>
    <s v="USD"/>
    <n v="1"/>
    <m/>
    <m/>
    <s v="http://lighttree.com/1000567449"/>
    <n v="55"/>
    <n v="65.45"/>
  </r>
  <r>
    <x v="186"/>
    <x v="1"/>
    <x v="6"/>
    <x v="5"/>
    <s v="Amos - Philadelphia"/>
    <s v="LT-2"/>
    <x v="0"/>
    <s v="2021-06-16T00:00:00"/>
    <s v="2021-06-23T00:00:00"/>
    <s v="2021-06-27T00:00:00"/>
    <s v="2021-06-23T00:00:00"/>
    <s v="2021-06-27T00:00:00"/>
    <n v="320"/>
    <s v="EA"/>
    <n v="17600"/>
    <s v="USD"/>
    <n v="1"/>
    <m/>
    <m/>
    <s v="http://lighttree.com/1000567451"/>
    <n v="55"/>
    <n v="65.45"/>
  </r>
  <r>
    <x v="187"/>
    <x v="1"/>
    <x v="11"/>
    <x v="5"/>
    <s v="Mueller - Pittsburgh"/>
    <s v="LT-2"/>
    <x v="0"/>
    <s v="2021-06-16T00:00:00"/>
    <s v="2021-06-23T00:00:00"/>
    <s v="2021-06-27T00:00:00"/>
    <s v="2021-06-23T00:00:00"/>
    <s v="2021-06-27T00:00:00"/>
    <n v="124"/>
    <s v="EA"/>
    <n v="51088"/>
    <s v="USD"/>
    <n v="1"/>
    <m/>
    <m/>
    <s v="http://lighttree.com/1000567459"/>
    <n v="412"/>
    <n v="490.28"/>
  </r>
  <r>
    <x v="188"/>
    <x v="1"/>
    <x v="5"/>
    <x v="5"/>
    <s v="Thermal - Cincinnati"/>
    <s v="LT-2"/>
    <x v="0"/>
    <s v="2021-06-16T00:00:00"/>
    <s v="2021-06-23T00:00:00"/>
    <s v="2021-06-27T00:00:00"/>
    <s v="2021-06-23T00:00:00"/>
    <s v="2021-06-27T00:00:00"/>
    <n v="320"/>
    <s v="EA"/>
    <n v="17600"/>
    <s v="USD"/>
    <n v="1"/>
    <m/>
    <m/>
    <s v="http://lighttree.com/1000567461"/>
    <n v="55"/>
    <n v="65.45"/>
  </r>
  <r>
    <x v="189"/>
    <x v="1"/>
    <x v="5"/>
    <x v="5"/>
    <s v="Thermal - Cincinnati"/>
    <s v="LT-2"/>
    <x v="0"/>
    <s v="2021-06-16T00:00:00"/>
    <s v="2021-06-23T00:00:00"/>
    <s v="2021-06-27T00:00:00"/>
    <s v="2021-06-23T00:00:00"/>
    <s v="2021-06-27T00:00:00"/>
    <n v="320"/>
    <s v="EA"/>
    <n v="17600"/>
    <s v="USD"/>
    <n v="1"/>
    <m/>
    <m/>
    <s v="http://lighttree.com/1000567464"/>
    <n v="55"/>
    <n v="65.45"/>
  </r>
  <r>
    <x v="190"/>
    <x v="1"/>
    <x v="11"/>
    <x v="5"/>
    <s v="Mueller - Pittsburgh"/>
    <s v="LT-2"/>
    <x v="0"/>
    <s v="2021-06-16T00:00:00"/>
    <s v="2021-06-23T00:00:00"/>
    <s v="2021-06-27T00:00:00"/>
    <s v="2021-06-23T00:00:00"/>
    <s v="2021-06-27T00:00:00"/>
    <n v="320"/>
    <s v="EA"/>
    <n v="131840"/>
    <s v="USD"/>
    <n v="1"/>
    <m/>
    <m/>
    <s v="http://lighttree.com/1000567468"/>
    <n v="412"/>
    <n v="490.28"/>
  </r>
  <r>
    <x v="191"/>
    <x v="1"/>
    <x v="15"/>
    <x v="5"/>
    <s v="McGrey - Mt Sterling"/>
    <s v="LT-2"/>
    <x v="0"/>
    <s v="2021-06-16T00:00:00"/>
    <s v="2021-06-23T00:00:00"/>
    <s v="2021-06-27T00:00:00"/>
    <s v="2021-06-23T00:00:00"/>
    <s v="2021-06-27T00:00:00"/>
    <n v="124"/>
    <s v="EA"/>
    <n v="180048"/>
    <s v="USD"/>
    <n v="1"/>
    <m/>
    <m/>
    <s v="http://lighttree.com/1000567473"/>
    <n v="1452"/>
    <n v="1727.88"/>
  </r>
  <r>
    <x v="192"/>
    <x v="1"/>
    <x v="4"/>
    <x v="5"/>
    <s v="EM - Hemphill"/>
    <s v="LT-2"/>
    <x v="0"/>
    <s v="2021-06-16T00:00:00"/>
    <s v="2021-06-23T00:00:00"/>
    <s v="2021-06-27T00:00:00"/>
    <s v="2021-06-23T00:00:00"/>
    <s v="2021-06-27T00:00:00"/>
    <n v="320"/>
    <s v="EA"/>
    <n v="6080"/>
    <s v="USD"/>
    <n v="1"/>
    <m/>
    <m/>
    <s v="http://lighttree.com/1000567476"/>
    <n v="19"/>
    <n v="22.61"/>
  </r>
  <r>
    <x v="193"/>
    <x v="1"/>
    <x v="13"/>
    <x v="5"/>
    <s v="Hardy - Salina"/>
    <s v="LT-2"/>
    <x v="0"/>
    <s v="2021-06-16T00:00:00"/>
    <s v="2021-06-23T00:00:00"/>
    <s v="2021-06-27T00:00:00"/>
    <s v="2021-06-23T00:00:00"/>
    <s v="2021-06-27T00:00:00"/>
    <n v="320"/>
    <s v="EA"/>
    <n v="7680"/>
    <s v="USD"/>
    <n v="1"/>
    <m/>
    <m/>
    <s v="http://lighttree.com/1000567477"/>
    <n v="24"/>
    <n v="28.56"/>
  </r>
  <r>
    <x v="194"/>
    <x v="1"/>
    <x v="18"/>
    <x v="5"/>
    <s v="Total Source - Waukesha"/>
    <s v="LT-2"/>
    <x v="0"/>
    <s v="2021-06-16T00:00:00"/>
    <s v="2021-06-23T00:00:00"/>
    <s v="2021-06-27T00:00:00"/>
    <s v="2021-06-23T00:00:00"/>
    <s v="2021-06-27T00:00:00"/>
    <n v="320"/>
    <s v="EA"/>
    <n v="312320"/>
    <s v="USD"/>
    <n v="1"/>
    <m/>
    <m/>
    <s v="http://lighttree.com/1000567478"/>
    <n v="976"/>
    <n v="1161.44"/>
  </r>
  <r>
    <x v="195"/>
    <x v="1"/>
    <x v="15"/>
    <x v="5"/>
    <s v="McGrey - Mt Sterling"/>
    <s v="LT-2"/>
    <x v="0"/>
    <s v="2021-06-16T00:00:00"/>
    <s v="2021-06-23T00:00:00"/>
    <s v="2021-06-27T00:00:00"/>
    <s v="2021-06-23T00:00:00"/>
    <s v="2021-06-27T00:00:00"/>
    <n v="320"/>
    <s v="EA"/>
    <n v="316800"/>
    <s v="USD"/>
    <n v="1"/>
    <m/>
    <m/>
    <s v="http://lighttree.com/1000567481"/>
    <n v="990"/>
    <n v="1178.0999999999999"/>
  </r>
  <r>
    <x v="196"/>
    <x v="1"/>
    <x v="9"/>
    <x v="5"/>
    <s v="Brewers - Phoenix"/>
    <s v="LT-2"/>
    <x v="0"/>
    <s v="2021-06-16T00:00:00"/>
    <s v="2021-06-23T00:00:00"/>
    <s v="2021-06-27T00:00:00"/>
    <s v="2021-06-23T00:00:00"/>
    <s v="2021-06-27T00:00:00"/>
    <n v="124"/>
    <s v="EA"/>
    <n v="159588"/>
    <s v="USD"/>
    <n v="1"/>
    <m/>
    <m/>
    <s v="http://lighttree.com/1000567483"/>
    <n v="1287"/>
    <n v="1531.53"/>
  </r>
  <r>
    <x v="197"/>
    <x v="1"/>
    <x v="1"/>
    <x v="5"/>
    <s v="Flexilux - Worcester"/>
    <s v="LT-2"/>
    <x v="0"/>
    <s v="2021-06-16T00:00:00"/>
    <s v="2021-06-23T00:00:00"/>
    <s v="2021-06-27T00:00:00"/>
    <s v="2021-06-23T00:00:00"/>
    <s v="2021-06-27T00:00:00"/>
    <n v="124"/>
    <s v="EA"/>
    <n v="569408"/>
    <s v="USD"/>
    <n v="1"/>
    <m/>
    <m/>
    <s v="http://lighttree.com/1000567484"/>
    <n v="4592"/>
    <n v="5464.48"/>
  </r>
  <r>
    <x v="198"/>
    <x v="1"/>
    <x v="20"/>
    <x v="5"/>
    <s v="Luminar - Palm Beach Gardens"/>
    <s v="LT-2"/>
    <x v="0"/>
    <s v="2021-06-16T00:00:00"/>
    <s v="2021-06-23T00:00:00"/>
    <s v="2021-06-27T00:00:00"/>
    <s v="2021-06-23T00:00:00"/>
    <s v="2021-06-27T00:00:00"/>
    <n v="124"/>
    <s v="EA"/>
    <n v="117800"/>
    <s v="USD"/>
    <n v="1"/>
    <m/>
    <m/>
    <s v="http://lighttree.com/1000567490"/>
    <n v="950"/>
    <n v="1130.5"/>
  </r>
  <r>
    <x v="199"/>
    <x v="1"/>
    <x v="12"/>
    <x v="5"/>
    <s v="F &amp; M - Columbus"/>
    <s v="LT-2"/>
    <x v="0"/>
    <s v="2021-06-16T00:00:00"/>
    <s v="2021-06-23T00:00:00"/>
    <s v="2021-06-27T00:00:00"/>
    <s v="2021-06-23T00:00:00"/>
    <s v="2021-06-27T00:00:00"/>
    <n v="124"/>
    <s v="EA"/>
    <n v="6200"/>
    <s v="USD"/>
    <n v="1"/>
    <m/>
    <m/>
    <s v="http://lighttree.com/1000567495"/>
    <n v="50"/>
    <n v="59.5"/>
  </r>
  <r>
    <x v="200"/>
    <x v="0"/>
    <x v="0"/>
    <x v="6"/>
    <s v="LT-2"/>
    <s v="MAHD - Boston"/>
    <x v="0"/>
    <s v="2021-06-30T00:00:00"/>
    <s v="2021-07-30T00:00:00"/>
    <s v="2021-08-02T00:00:00"/>
    <s v="2021-07-30T00:00:00"/>
    <s v="2021-08-02T00:00:00"/>
    <n v="132"/>
    <s v="EA"/>
    <n v="165000"/>
    <s v="USD"/>
    <n v="3"/>
    <m/>
    <m/>
    <s v="http://lighttree.com/100044333"/>
    <n v="1250"/>
    <n v="1487.5"/>
  </r>
  <r>
    <x v="201"/>
    <x v="0"/>
    <x v="0"/>
    <x v="6"/>
    <s v="LT-2"/>
    <s v="MAHD - Boston"/>
    <x v="0"/>
    <s v="2021-06-30T00:00:00"/>
    <s v="2021-07-30T00:00:00"/>
    <s v="2021-08-02T00:00:00"/>
    <s v="2021-07-30T00:00:00"/>
    <s v="2021-08-02T00:00:00"/>
    <n v="66"/>
    <s v="EA"/>
    <n v="82500"/>
    <s v="USD"/>
    <n v="3"/>
    <m/>
    <m/>
    <s v="http://lighttree.com/100044334"/>
    <n v="1250"/>
    <n v="1487.5"/>
  </r>
  <r>
    <x v="202"/>
    <x v="0"/>
    <x v="0"/>
    <x v="7"/>
    <s v="LT-1"/>
    <s v="NYDOT - New Rochelle"/>
    <x v="0"/>
    <s v="2021-06-15T00:00:00"/>
    <s v="2021-07-30T00:00:00"/>
    <s v="2021-08-03T00:00:00"/>
    <s v="2021-07-30T00:00:00"/>
    <s v="2021-08-02T00:00:00"/>
    <n v="512"/>
    <s v="EA"/>
    <n v="640000"/>
    <s v="USD"/>
    <n v="3"/>
    <m/>
    <m/>
    <s v="http://lighttree.com/100044338"/>
    <n v="1250"/>
    <n v="1487.5"/>
  </r>
  <r>
    <x v="203"/>
    <x v="0"/>
    <x v="0"/>
    <x v="7"/>
    <s v="LT-1"/>
    <s v="NYDOT - New Rochelle"/>
    <x v="0"/>
    <s v="2021-06-15T00:00:00"/>
    <s v="2021-07-15T00:00:00"/>
    <s v="2021-07-19T00:00:00"/>
    <s v="2021-07-15T00:00:00"/>
    <s v="2021-07-19T00:00:00"/>
    <n v="124"/>
    <s v="EA"/>
    <n v="155000"/>
    <s v="USD"/>
    <n v="3"/>
    <m/>
    <m/>
    <s v="http://lighttree.com/100044339"/>
    <n v="1250"/>
    <n v="1487.5"/>
  </r>
  <r>
    <x v="204"/>
    <x v="0"/>
    <x v="0"/>
    <x v="7"/>
    <s v="LT-1"/>
    <s v="NYDOT - New Rochelle"/>
    <x v="0"/>
    <s v="2021-06-15T00:00:00"/>
    <s v="2021-07-15T00:00:00"/>
    <s v="2021-07-19T00:00:00"/>
    <s v="2021-07-15T00:00:00"/>
    <s v="2021-07-19T00:00:00"/>
    <n v="37"/>
    <s v="EA"/>
    <n v="46250"/>
    <s v="USD"/>
    <n v="3"/>
    <m/>
    <m/>
    <s v="http://lighttree.com/100044340"/>
    <n v="1250"/>
    <n v="1487.5"/>
  </r>
  <r>
    <x v="205"/>
    <x v="0"/>
    <x v="0"/>
    <x v="7"/>
    <s v="LT-1"/>
    <s v="NYDOT - New Rochelle"/>
    <x v="0"/>
    <s v="2021-06-15T00:00:00"/>
    <s v="2021-07-07T00:00:00"/>
    <s v="2021-07-11T00:00:00"/>
    <s v="2021-07-07T00:00:00"/>
    <s v="2021-07-11T00:00:00"/>
    <n v="320"/>
    <s v="EA"/>
    <n v="400000"/>
    <s v="USD"/>
    <n v="3"/>
    <m/>
    <m/>
    <s v="http://lighttree.com/100044341"/>
    <n v="1250"/>
    <n v="1487.5"/>
  </r>
  <r>
    <x v="206"/>
    <x v="0"/>
    <x v="0"/>
    <x v="7"/>
    <s v="LT-1"/>
    <s v="NYDOT - New Rochelle"/>
    <x v="0"/>
    <s v="2021-06-15T00:00:00"/>
    <s v="2021-07-07T00:00:00"/>
    <s v="2021-07-11T00:00:00"/>
    <s v="2021-07-07T00:00:00"/>
    <s v="2021-07-11T00:00:00"/>
    <n v="320"/>
    <s v="EA"/>
    <n v="400000"/>
    <s v="USD"/>
    <n v="3"/>
    <m/>
    <m/>
    <s v="http://lighttree.com/100044342"/>
    <n v="1250"/>
    <n v="1487.5"/>
  </r>
  <r>
    <x v="207"/>
    <x v="0"/>
    <x v="0"/>
    <x v="8"/>
    <s v="LT-2"/>
    <s v="QPWD - Ville de Québec"/>
    <x v="0"/>
    <s v="2021-07-07T00:00:00"/>
    <s v="2021-07-29T00:00:00"/>
    <s v="2021-08-04T00:00:00"/>
    <s v="2021-07-29T00:00:00"/>
    <s v="2021-08-04T00:00:00"/>
    <n v="56"/>
    <s v="EA"/>
    <n v="70000"/>
    <s v="USD"/>
    <n v="3"/>
    <m/>
    <m/>
    <s v="http://lighttree.com/100044328"/>
    <n v="1250"/>
    <n v="1487.5"/>
  </r>
  <r>
    <x v="208"/>
    <x v="0"/>
    <x v="0"/>
    <x v="8"/>
    <s v="LT-2"/>
    <s v="QPWD - Ville de Québec"/>
    <x v="0"/>
    <s v="2021-07-07T00:00:00"/>
    <s v="2021-07-29T00:00:00"/>
    <s v="2021-08-04T00:00:00"/>
    <s v="2021-07-29T00:00:00"/>
    <s v="2021-08-04T00:00:00"/>
    <n v="320"/>
    <s v="EA"/>
    <n v="400000"/>
    <s v="USD"/>
    <n v="3"/>
    <m/>
    <m/>
    <s v="http://lighttree.com/100044329"/>
    <n v="1250"/>
    <n v="1487.5"/>
  </r>
  <r>
    <x v="209"/>
    <x v="0"/>
    <x v="0"/>
    <x v="8"/>
    <s v="LT-2"/>
    <s v="QPWD - Ville de Québec"/>
    <x v="0"/>
    <s v="2021-07-07T00:00:00"/>
    <s v="2021-08-06T00:00:00"/>
    <s v="2021-08-12T00:00:00"/>
    <s v="2021-08-06T00:00:00"/>
    <s v="2021-08-12T00:00:00"/>
    <n v="12"/>
    <s v="EA"/>
    <n v="15000"/>
    <s v="USD"/>
    <n v="3"/>
    <m/>
    <m/>
    <s v="http://lighttree.com/100044330"/>
    <n v="1250"/>
    <n v="1487.5"/>
  </r>
  <r>
    <x v="210"/>
    <x v="0"/>
    <x v="0"/>
    <x v="8"/>
    <s v="LT-2"/>
    <s v="QPWD - Ville de Québec"/>
    <x v="0"/>
    <s v="2021-07-07T00:00:00"/>
    <s v="2021-08-04T00:00:00"/>
    <s v="2021-08-12T00:00:00"/>
    <s v="2021-08-06T00:00:00"/>
    <s v="2021-08-12T00:00:00"/>
    <n v="960"/>
    <s v="EA"/>
    <n v="1200000"/>
    <s v="USD"/>
    <n v="3"/>
    <m/>
    <m/>
    <s v="http://lighttree.com/100044331"/>
    <n v="1250"/>
    <n v="1487.5"/>
  </r>
  <r>
    <x v="211"/>
    <x v="0"/>
    <x v="0"/>
    <x v="8"/>
    <s v="LT-2"/>
    <s v="QPWD - Ville de Québec"/>
    <x v="0"/>
    <s v="2021-07-07T00:00:00"/>
    <s v="2021-08-21T00:00:00"/>
    <s v="2021-08-27T00:00:00"/>
    <s v="2021-08-21T00:00:00"/>
    <s v="2021-08-27T00:00:00"/>
    <n v="56"/>
    <s v="EA"/>
    <n v="70000"/>
    <s v="USD"/>
    <n v="3"/>
    <m/>
    <m/>
    <s v="http://lighttree.com/100044332"/>
    <n v="1250"/>
    <n v="1487.5"/>
  </r>
  <r>
    <x v="212"/>
    <x v="0"/>
    <x v="0"/>
    <x v="8"/>
    <s v="LT-2"/>
    <s v="QPWD - Ville de Québec"/>
    <x v="0"/>
    <s v="2017-07-11T00:00:00"/>
    <s v="2021-08-10T00:00:00"/>
    <s v="2021-08-18T00:00:00"/>
    <m/>
    <m/>
    <n v="597"/>
    <s v="EA"/>
    <n v="44953"/>
    <s v="USD"/>
    <n v="3"/>
    <m/>
    <m/>
    <s v="http://lighttree.com/100055004"/>
    <n v="75.298157453936355"/>
    <n v="89.604807370184261"/>
  </r>
  <r>
    <x v="213"/>
    <x v="0"/>
    <x v="0"/>
    <x v="8"/>
    <s v="LT-2"/>
    <s v="QPWD - Ville de Québec"/>
    <x v="0"/>
    <s v="2017-07-11T00:00:00"/>
    <s v="2021-08-10T00:00:00"/>
    <s v="2021-08-18T00:00:00"/>
    <s v="2021-08-10T00:00:00"/>
    <s v="2021-08-18T00:00:00"/>
    <n v="447"/>
    <s v="EA"/>
    <n v="27319"/>
    <s v="USD"/>
    <n v="4"/>
    <m/>
    <m/>
    <s v="http://lighttree.com/100055011"/>
    <n v="61.116331096196873"/>
    <n v="72.7284340044742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7D33E-21AD-46FE-877A-DA8D7ED3D74E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5" firstHeaderRow="0" firstDataRow="1" firstDataCol="1"/>
  <pivotFields count="22">
    <pivotField showAll="0">
      <items count="215">
        <item x="28"/>
        <item x="25"/>
        <item x="26"/>
        <item x="20"/>
        <item x="21"/>
        <item x="22"/>
        <item x="207"/>
        <item x="208"/>
        <item x="209"/>
        <item x="210"/>
        <item x="211"/>
        <item x="200"/>
        <item x="201"/>
        <item x="29"/>
        <item x="30"/>
        <item x="31"/>
        <item x="202"/>
        <item x="203"/>
        <item x="204"/>
        <item x="205"/>
        <item x="206"/>
        <item x="9"/>
        <item x="10"/>
        <item x="16"/>
        <item x="17"/>
        <item x="18"/>
        <item x="19"/>
        <item x="0"/>
        <item x="1"/>
        <item x="5"/>
        <item x="6"/>
        <item x="2"/>
        <item x="7"/>
        <item x="8"/>
        <item x="11"/>
        <item x="3"/>
        <item x="12"/>
        <item x="4"/>
        <item x="212"/>
        <item x="13"/>
        <item x="23"/>
        <item x="14"/>
        <item x="24"/>
        <item x="15"/>
        <item x="27"/>
        <item x="2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32"/>
        <item x="33"/>
        <item x="34"/>
        <item x="35"/>
        <item x="132"/>
        <item x="133"/>
        <item x="134"/>
        <item x="36"/>
        <item x="135"/>
        <item x="136"/>
        <item x="137"/>
        <item x="37"/>
        <item x="138"/>
        <item x="38"/>
        <item x="39"/>
        <item x="139"/>
        <item x="40"/>
        <item x="41"/>
        <item x="42"/>
        <item x="43"/>
        <item x="44"/>
        <item x="140"/>
        <item x="141"/>
        <item x="142"/>
        <item x="143"/>
        <item x="45"/>
        <item x="46"/>
        <item x="144"/>
        <item x="47"/>
        <item x="145"/>
        <item x="146"/>
        <item x="147"/>
        <item x="148"/>
        <item x="149"/>
        <item x="48"/>
        <item x="49"/>
        <item x="150"/>
        <item x="151"/>
        <item x="50"/>
        <item x="152"/>
        <item x="153"/>
        <item x="51"/>
        <item x="154"/>
        <item x="52"/>
        <item x="53"/>
        <item x="155"/>
        <item x="54"/>
        <item x="156"/>
        <item x="157"/>
        <item x="55"/>
        <item x="158"/>
        <item x="56"/>
        <item x="159"/>
        <item x="57"/>
        <item x="58"/>
        <item x="59"/>
        <item x="60"/>
        <item x="160"/>
        <item x="61"/>
        <item x="62"/>
        <item x="63"/>
        <item x="161"/>
        <item x="64"/>
        <item x="65"/>
        <item x="66"/>
        <item x="162"/>
        <item x="67"/>
        <item x="68"/>
        <item x="163"/>
        <item x="69"/>
        <item x="70"/>
        <item x="71"/>
        <item x="164"/>
        <item x="72"/>
        <item x="73"/>
        <item x="74"/>
        <item x="75"/>
        <item x="76"/>
        <item x="165"/>
        <item x="166"/>
        <item x="167"/>
        <item x="77"/>
        <item x="168"/>
        <item x="169"/>
        <item x="78"/>
        <item x="79"/>
        <item x="170"/>
        <item x="80"/>
        <item x="171"/>
        <item x="172"/>
        <item x="81"/>
        <item x="82"/>
        <item x="173"/>
        <item x="83"/>
        <item x="84"/>
        <item x="85"/>
        <item x="86"/>
        <item x="174"/>
        <item x="175"/>
        <item x="176"/>
        <item x="87"/>
        <item x="177"/>
        <item x="88"/>
        <item x="89"/>
        <item x="90"/>
        <item x="178"/>
        <item x="179"/>
        <item x="180"/>
        <item x="181"/>
        <item x="91"/>
        <item x="182"/>
        <item x="92"/>
        <item x="93"/>
        <item x="94"/>
        <item x="95"/>
        <item x="183"/>
        <item x="184"/>
        <item x="96"/>
        <item x="97"/>
        <item x="98"/>
        <item x="185"/>
        <item x="99"/>
        <item x="186"/>
        <item x="187"/>
        <item x="100"/>
        <item x="188"/>
        <item x="101"/>
        <item x="102"/>
        <item x="189"/>
        <item x="103"/>
        <item x="190"/>
        <item x="104"/>
        <item x="105"/>
        <item x="191"/>
        <item x="106"/>
        <item x="107"/>
        <item x="192"/>
        <item x="193"/>
        <item x="194"/>
        <item x="108"/>
        <item x="195"/>
        <item x="109"/>
        <item x="196"/>
        <item x="197"/>
        <item x="110"/>
        <item x="198"/>
        <item x="111"/>
        <item x="199"/>
        <item x="112"/>
        <item x="113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22">
        <item x="3"/>
        <item x="6"/>
        <item x="9"/>
        <item x="4"/>
        <item x="12"/>
        <item x="1"/>
        <item x="17"/>
        <item x="13"/>
        <item x="2"/>
        <item x="16"/>
        <item x="0"/>
        <item x="20"/>
        <item x="15"/>
        <item x="11"/>
        <item x="14"/>
        <item x="10"/>
        <item x="19"/>
        <item x="7"/>
        <item x="8"/>
        <item x="5"/>
        <item x="18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12">
    <i>
      <x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quantity" fld="12" subtotal="average" baseField="3" baseItem="5"/>
    <dataField name="Suma de totalVal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153F4-6DD8-41D8-8609-4236160A76D8}" name="Tabla1" displayName="Tabla1" ref="A1:V169" totalsRowShown="0">
  <autoFilter ref="A1:V169" xr:uid="{B84153F4-6DD8-41D8-8609-4236160A76D8}"/>
  <tableColumns count="22">
    <tableColumn id="1" xr3:uid="{CD27031E-9369-4454-94A1-B480A7126E07}" name="orderIdentifier"/>
    <tableColumn id="2" xr3:uid="{AD2DF31F-DA7F-4CAA-8C51-FEABFF6B7C03}" name="orderType"/>
    <tableColumn id="3" xr3:uid="{813375D1-DEEE-4234-991C-A2EC53062E07}" name="vendor.organizationIdentifier"/>
    <tableColumn id="4" xr3:uid="{22E86F31-C5B3-4CA8-A25F-5292DC54A85A}" name="buyer.organizationIdentifier"/>
    <tableColumn id="5" xr3:uid="{87D9C0A8-FCF0-44DB-8D8F-A8C2724AAB95}" name="shipFromInstructionLocation.locationIdentifier"/>
    <tableColumn id="6" xr3:uid="{8CF4C1C3-7A63-4986-9C8A-0AD111FC2D57}" name="shipToLocation.locationIdentifier"/>
    <tableColumn id="7" xr3:uid="{101E0F73-5D49-495B-80F3-C91F3B758115}" name="orderStatus"/>
    <tableColumn id="8" xr3:uid="{9624D016-B3C4-4B56-AEFA-3E34315D8B88}" name="createdDate"/>
    <tableColumn id="9" xr3:uid="{B7698D51-C1DC-48D5-8368-DD269F9D071F}" name="requestedShipDate"/>
    <tableColumn id="10" xr3:uid="{E6555A34-FE11-4864-9033-090B46F200E5}" name="requestedDeliveryDate"/>
    <tableColumn id="11" xr3:uid="{E093624B-891D-464D-AF2E-C467AB177214}" name="plannedShipDate"/>
    <tableColumn id="12" xr3:uid="{7A8853FB-9969-45BB-933A-BE575372BE0D}" name="plannedDeliveryDate"/>
    <tableColumn id="13" xr3:uid="{E2DC2DD8-7AF7-48A7-94AD-71EAEA0C6793}" name="quantity"/>
    <tableColumn id="14" xr3:uid="{F898CF52-F9B8-44AF-8A23-24B4510A4F39}" name="quantityUnits"/>
    <tableColumn id="15" xr3:uid="{917D819C-C1EF-4509-B443-57C99187062F}" name="totalValue"/>
    <tableColumn id="16" xr3:uid="{D25560D5-D253-4CD8-9443-A130130C05C2}" name="orderValueCurrency"/>
    <tableColumn id="17" xr3:uid="{14F60752-8B90-49CF-9ECF-87A4A2921FF5}" name="lineCount"/>
    <tableColumn id="18" xr3:uid="{8C8A3842-6300-4E6A-8B71-2E789F3FA4D8}" name="totalShippedQuantity"/>
    <tableColumn id="19" xr3:uid="{996F80E0-3823-43E2-B835-11BA912FDDF0}" name="exclude"/>
    <tableColumn id="20" xr3:uid="{BC26574D-F5BD-4DFF-BB9A-BE3EB9E3D611}" name="sourceLink"/>
    <tableColumn id="21" xr3:uid="{2B9BCBAF-032E-4A11-B5A9-30A5B6EA8F61}" name="precio_unitario"/>
    <tableColumn id="22" xr3:uid="{687A8D37-33CE-46E8-8507-72F5874909D0}" name="precio_unitario_iv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1C87-D89C-4719-8122-778937F173A2}">
  <dimension ref="A1:V169"/>
  <sheetViews>
    <sheetView workbookViewId="0">
      <selection sqref="A1:V169"/>
    </sheetView>
  </sheetViews>
  <sheetFormatPr baseColWidth="10" defaultRowHeight="15" x14ac:dyDescent="0.25"/>
  <cols>
    <col min="1" max="1" width="16.42578125" customWidth="1"/>
    <col min="2" max="2" width="12.28515625" customWidth="1"/>
    <col min="3" max="3" width="29.42578125" customWidth="1"/>
    <col min="4" max="4" width="28.28515625" customWidth="1"/>
    <col min="5" max="5" width="44.5703125" customWidth="1"/>
    <col min="6" max="6" width="32.5703125" customWidth="1"/>
    <col min="7" max="7" width="13.42578125" customWidth="1"/>
    <col min="8" max="8" width="14" customWidth="1"/>
    <col min="9" max="9" width="20.28515625" customWidth="1"/>
    <col min="10" max="10" width="23.85546875" customWidth="1"/>
    <col min="11" max="11" width="18.42578125" customWidth="1"/>
    <col min="12" max="12" width="22" customWidth="1"/>
    <col min="14" max="14" width="15.28515625" customWidth="1"/>
    <col min="15" max="15" width="12.42578125" customWidth="1"/>
    <col min="16" max="16" width="21" customWidth="1"/>
    <col min="17" max="17" width="11.85546875" customWidth="1"/>
    <col min="18" max="18" width="22.28515625" customWidth="1"/>
    <col min="20" max="20" width="12.5703125" customWidth="1"/>
    <col min="21" max="21" width="16.7109375" customWidth="1"/>
    <col min="22" max="22" width="20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1000567495</v>
      </c>
      <c r="B2" t="s">
        <v>106</v>
      </c>
      <c r="C2" t="s">
        <v>157</v>
      </c>
      <c r="D2" t="s">
        <v>23</v>
      </c>
      <c r="E2" t="s">
        <v>158</v>
      </c>
      <c r="F2" t="s">
        <v>37</v>
      </c>
      <c r="H2" t="s">
        <v>122</v>
      </c>
      <c r="I2" t="s">
        <v>123</v>
      </c>
      <c r="J2" t="s">
        <v>124</v>
      </c>
      <c r="K2" t="s">
        <v>123</v>
      </c>
      <c r="L2" t="s">
        <v>124</v>
      </c>
      <c r="M2">
        <v>124</v>
      </c>
      <c r="N2" t="s">
        <v>31</v>
      </c>
      <c r="O2">
        <v>6200</v>
      </c>
      <c r="P2" t="s">
        <v>32</v>
      </c>
      <c r="Q2">
        <v>1</v>
      </c>
      <c r="T2" t="s">
        <v>333</v>
      </c>
      <c r="U2">
        <v>50</v>
      </c>
      <c r="V2">
        <v>59.5</v>
      </c>
    </row>
    <row r="3" spans="1:22" x14ac:dyDescent="0.25">
      <c r="A3">
        <v>1000567490</v>
      </c>
      <c r="B3" t="s">
        <v>106</v>
      </c>
      <c r="C3" t="s">
        <v>271</v>
      </c>
      <c r="D3" t="s">
        <v>23</v>
      </c>
      <c r="E3" t="s">
        <v>272</v>
      </c>
      <c r="F3" t="s">
        <v>37</v>
      </c>
      <c r="H3" t="s">
        <v>122</v>
      </c>
      <c r="I3" t="s">
        <v>123</v>
      </c>
      <c r="J3" t="s">
        <v>124</v>
      </c>
      <c r="K3" t="s">
        <v>123</v>
      </c>
      <c r="L3" t="s">
        <v>124</v>
      </c>
      <c r="M3">
        <v>124</v>
      </c>
      <c r="N3" t="s">
        <v>31</v>
      </c>
      <c r="O3">
        <v>117800</v>
      </c>
      <c r="P3" t="s">
        <v>32</v>
      </c>
      <c r="Q3">
        <v>1</v>
      </c>
      <c r="T3" t="s">
        <v>332</v>
      </c>
      <c r="U3">
        <v>950</v>
      </c>
      <c r="V3">
        <v>1130.5</v>
      </c>
    </row>
    <row r="4" spans="1:22" x14ac:dyDescent="0.25">
      <c r="A4">
        <v>1000567484</v>
      </c>
      <c r="B4" t="s">
        <v>106</v>
      </c>
      <c r="C4" t="s">
        <v>107</v>
      </c>
      <c r="D4" t="s">
        <v>23</v>
      </c>
      <c r="E4" t="s">
        <v>108</v>
      </c>
      <c r="F4" t="s">
        <v>37</v>
      </c>
      <c r="H4" t="s">
        <v>122</v>
      </c>
      <c r="I4" t="s">
        <v>123</v>
      </c>
      <c r="J4" t="s">
        <v>124</v>
      </c>
      <c r="K4" t="s">
        <v>123</v>
      </c>
      <c r="L4" t="s">
        <v>124</v>
      </c>
      <c r="M4">
        <v>124</v>
      </c>
      <c r="N4" t="s">
        <v>31</v>
      </c>
      <c r="O4">
        <v>569408</v>
      </c>
      <c r="P4" t="s">
        <v>32</v>
      </c>
      <c r="Q4">
        <v>1</v>
      </c>
      <c r="T4" t="s">
        <v>331</v>
      </c>
      <c r="U4">
        <v>4592</v>
      </c>
      <c r="V4">
        <v>5464.48</v>
      </c>
    </row>
    <row r="5" spans="1:22" x14ac:dyDescent="0.25">
      <c r="A5">
        <v>1000567483</v>
      </c>
      <c r="B5" t="s">
        <v>106</v>
      </c>
      <c r="C5" t="s">
        <v>138</v>
      </c>
      <c r="D5" t="s">
        <v>23</v>
      </c>
      <c r="E5" t="s">
        <v>139</v>
      </c>
      <c r="F5" t="s">
        <v>37</v>
      </c>
      <c r="H5" t="s">
        <v>122</v>
      </c>
      <c r="I5" t="s">
        <v>123</v>
      </c>
      <c r="J5" t="s">
        <v>124</v>
      </c>
      <c r="K5" t="s">
        <v>123</v>
      </c>
      <c r="L5" t="s">
        <v>124</v>
      </c>
      <c r="M5">
        <v>124</v>
      </c>
      <c r="N5" t="s">
        <v>31</v>
      </c>
      <c r="O5">
        <v>159588</v>
      </c>
      <c r="P5" t="s">
        <v>32</v>
      </c>
      <c r="Q5">
        <v>1</v>
      </c>
      <c r="T5" t="s">
        <v>330</v>
      </c>
      <c r="U5">
        <v>1287</v>
      </c>
      <c r="V5">
        <v>1531.53</v>
      </c>
    </row>
    <row r="6" spans="1:22" x14ac:dyDescent="0.25">
      <c r="A6">
        <v>1000567481</v>
      </c>
      <c r="B6" t="s">
        <v>106</v>
      </c>
      <c r="C6" t="s">
        <v>169</v>
      </c>
      <c r="D6" t="s">
        <v>23</v>
      </c>
      <c r="E6" t="s">
        <v>170</v>
      </c>
      <c r="F6" t="s">
        <v>37</v>
      </c>
      <c r="H6" t="s">
        <v>122</v>
      </c>
      <c r="I6" t="s">
        <v>123</v>
      </c>
      <c r="J6" t="s">
        <v>124</v>
      </c>
      <c r="K6" t="s">
        <v>123</v>
      </c>
      <c r="L6" t="s">
        <v>124</v>
      </c>
      <c r="M6">
        <v>320</v>
      </c>
      <c r="N6" t="s">
        <v>31</v>
      </c>
      <c r="O6">
        <v>316800</v>
      </c>
      <c r="P6" t="s">
        <v>32</v>
      </c>
      <c r="Q6">
        <v>1</v>
      </c>
      <c r="T6" t="s">
        <v>329</v>
      </c>
      <c r="U6">
        <v>990</v>
      </c>
      <c r="V6">
        <v>1178.0999999999999</v>
      </c>
    </row>
    <row r="7" spans="1:22" x14ac:dyDescent="0.25">
      <c r="A7">
        <v>1000567478</v>
      </c>
      <c r="B7" t="s">
        <v>106</v>
      </c>
      <c r="C7" t="s">
        <v>196</v>
      </c>
      <c r="D7" t="s">
        <v>23</v>
      </c>
      <c r="E7" t="s">
        <v>197</v>
      </c>
      <c r="F7" t="s">
        <v>37</v>
      </c>
      <c r="H7" t="s">
        <v>122</v>
      </c>
      <c r="I7" t="s">
        <v>123</v>
      </c>
      <c r="J7" t="s">
        <v>124</v>
      </c>
      <c r="K7" t="s">
        <v>123</v>
      </c>
      <c r="L7" t="s">
        <v>124</v>
      </c>
      <c r="M7">
        <v>320</v>
      </c>
      <c r="N7" t="s">
        <v>31</v>
      </c>
      <c r="O7">
        <v>312320</v>
      </c>
      <c r="P7" t="s">
        <v>32</v>
      </c>
      <c r="Q7">
        <v>1</v>
      </c>
      <c r="T7" t="s">
        <v>328</v>
      </c>
      <c r="U7">
        <v>976</v>
      </c>
      <c r="V7">
        <v>1161.44</v>
      </c>
    </row>
    <row r="8" spans="1:22" x14ac:dyDescent="0.25">
      <c r="A8">
        <v>1000567477</v>
      </c>
      <c r="B8" t="s">
        <v>106</v>
      </c>
      <c r="C8" t="s">
        <v>160</v>
      </c>
      <c r="D8" t="s">
        <v>23</v>
      </c>
      <c r="E8" t="s">
        <v>161</v>
      </c>
      <c r="F8" t="s">
        <v>37</v>
      </c>
      <c r="H8" t="s">
        <v>122</v>
      </c>
      <c r="I8" t="s">
        <v>123</v>
      </c>
      <c r="J8" t="s">
        <v>124</v>
      </c>
      <c r="K8" t="s">
        <v>123</v>
      </c>
      <c r="L8" t="s">
        <v>124</v>
      </c>
      <c r="M8">
        <v>320</v>
      </c>
      <c r="N8" t="s">
        <v>31</v>
      </c>
      <c r="O8">
        <v>7680</v>
      </c>
      <c r="P8" t="s">
        <v>32</v>
      </c>
      <c r="Q8">
        <v>1</v>
      </c>
      <c r="T8" t="s">
        <v>327</v>
      </c>
      <c r="U8">
        <v>24</v>
      </c>
      <c r="V8">
        <v>28.56</v>
      </c>
    </row>
    <row r="9" spans="1:22" x14ac:dyDescent="0.25">
      <c r="A9">
        <v>1000567476</v>
      </c>
      <c r="B9" t="s">
        <v>106</v>
      </c>
      <c r="C9" t="s">
        <v>117</v>
      </c>
      <c r="D9" t="s">
        <v>23</v>
      </c>
      <c r="E9" t="s">
        <v>118</v>
      </c>
      <c r="F9" t="s">
        <v>37</v>
      </c>
      <c r="H9" t="s">
        <v>122</v>
      </c>
      <c r="I9" t="s">
        <v>123</v>
      </c>
      <c r="J9" t="s">
        <v>124</v>
      </c>
      <c r="K9" t="s">
        <v>123</v>
      </c>
      <c r="L9" t="s">
        <v>124</v>
      </c>
      <c r="M9">
        <v>320</v>
      </c>
      <c r="N9" t="s">
        <v>31</v>
      </c>
      <c r="O9">
        <v>6080</v>
      </c>
      <c r="P9" t="s">
        <v>32</v>
      </c>
      <c r="Q9">
        <v>1</v>
      </c>
      <c r="T9" t="s">
        <v>326</v>
      </c>
      <c r="U9">
        <v>19</v>
      </c>
      <c r="V9">
        <v>22.61</v>
      </c>
    </row>
    <row r="10" spans="1:22" x14ac:dyDescent="0.25">
      <c r="A10">
        <v>1000567473</v>
      </c>
      <c r="B10" t="s">
        <v>106</v>
      </c>
      <c r="C10" t="s">
        <v>169</v>
      </c>
      <c r="D10" t="s">
        <v>23</v>
      </c>
      <c r="E10" t="s">
        <v>170</v>
      </c>
      <c r="F10" t="s">
        <v>37</v>
      </c>
      <c r="H10" t="s">
        <v>122</v>
      </c>
      <c r="I10" t="s">
        <v>123</v>
      </c>
      <c r="J10" t="s">
        <v>124</v>
      </c>
      <c r="K10" t="s">
        <v>123</v>
      </c>
      <c r="L10" t="s">
        <v>124</v>
      </c>
      <c r="M10">
        <v>124</v>
      </c>
      <c r="N10" t="s">
        <v>31</v>
      </c>
      <c r="O10">
        <v>180048</v>
      </c>
      <c r="P10" t="s">
        <v>32</v>
      </c>
      <c r="Q10">
        <v>1</v>
      </c>
      <c r="T10" t="s">
        <v>325</v>
      </c>
      <c r="U10">
        <v>1452</v>
      </c>
      <c r="V10">
        <v>1727.88</v>
      </c>
    </row>
    <row r="11" spans="1:22" x14ac:dyDescent="0.25">
      <c r="A11">
        <v>1000567468</v>
      </c>
      <c r="B11" t="s">
        <v>106</v>
      </c>
      <c r="C11" t="s">
        <v>148</v>
      </c>
      <c r="D11" t="s">
        <v>23</v>
      </c>
      <c r="E11" t="s">
        <v>149</v>
      </c>
      <c r="F11" t="s">
        <v>37</v>
      </c>
      <c r="H11" t="s">
        <v>122</v>
      </c>
      <c r="I11" t="s">
        <v>123</v>
      </c>
      <c r="J11" t="s">
        <v>124</v>
      </c>
      <c r="K11" t="s">
        <v>123</v>
      </c>
      <c r="L11" t="s">
        <v>124</v>
      </c>
      <c r="M11">
        <v>320</v>
      </c>
      <c r="N11" t="s">
        <v>31</v>
      </c>
      <c r="O11">
        <v>131840</v>
      </c>
      <c r="P11" t="s">
        <v>32</v>
      </c>
      <c r="Q11">
        <v>1</v>
      </c>
      <c r="T11" t="s">
        <v>324</v>
      </c>
      <c r="U11">
        <v>412</v>
      </c>
      <c r="V11">
        <v>490.28</v>
      </c>
    </row>
    <row r="12" spans="1:22" x14ac:dyDescent="0.25">
      <c r="A12">
        <v>1000567464</v>
      </c>
      <c r="B12" t="s">
        <v>106</v>
      </c>
      <c r="C12" t="s">
        <v>120</v>
      </c>
      <c r="D12" t="s">
        <v>23</v>
      </c>
      <c r="E12" t="s">
        <v>121</v>
      </c>
      <c r="F12" t="s">
        <v>37</v>
      </c>
      <c r="H12" t="s">
        <v>122</v>
      </c>
      <c r="I12" t="s">
        <v>123</v>
      </c>
      <c r="J12" t="s">
        <v>124</v>
      </c>
      <c r="K12" t="s">
        <v>123</v>
      </c>
      <c r="L12" t="s">
        <v>124</v>
      </c>
      <c r="M12">
        <v>320</v>
      </c>
      <c r="N12" t="s">
        <v>31</v>
      </c>
      <c r="O12">
        <v>17600</v>
      </c>
      <c r="P12" t="s">
        <v>32</v>
      </c>
      <c r="Q12">
        <v>1</v>
      </c>
      <c r="T12" t="s">
        <v>323</v>
      </c>
      <c r="U12">
        <v>55</v>
      </c>
      <c r="V12">
        <v>65.45</v>
      </c>
    </row>
    <row r="13" spans="1:22" x14ac:dyDescent="0.25">
      <c r="A13">
        <v>1000567461</v>
      </c>
      <c r="B13" t="s">
        <v>106</v>
      </c>
      <c r="C13" t="s">
        <v>120</v>
      </c>
      <c r="D13" t="s">
        <v>23</v>
      </c>
      <c r="E13" t="s">
        <v>121</v>
      </c>
      <c r="F13" t="s">
        <v>37</v>
      </c>
      <c r="H13" t="s">
        <v>122</v>
      </c>
      <c r="I13" t="s">
        <v>123</v>
      </c>
      <c r="J13" t="s">
        <v>124</v>
      </c>
      <c r="K13" t="s">
        <v>123</v>
      </c>
      <c r="L13" t="s">
        <v>124</v>
      </c>
      <c r="M13">
        <v>320</v>
      </c>
      <c r="N13" t="s">
        <v>31</v>
      </c>
      <c r="O13">
        <v>17600</v>
      </c>
      <c r="P13" t="s">
        <v>32</v>
      </c>
      <c r="Q13">
        <v>1</v>
      </c>
      <c r="T13" t="s">
        <v>322</v>
      </c>
      <c r="U13">
        <v>55</v>
      </c>
      <c r="V13">
        <v>65.45</v>
      </c>
    </row>
    <row r="14" spans="1:22" x14ac:dyDescent="0.25">
      <c r="A14">
        <v>1000567459</v>
      </c>
      <c r="B14" t="s">
        <v>106</v>
      </c>
      <c r="C14" t="s">
        <v>148</v>
      </c>
      <c r="D14" t="s">
        <v>23</v>
      </c>
      <c r="E14" t="s">
        <v>149</v>
      </c>
      <c r="F14" t="s">
        <v>37</v>
      </c>
      <c r="H14" t="s">
        <v>122</v>
      </c>
      <c r="I14" t="s">
        <v>123</v>
      </c>
      <c r="J14" t="s">
        <v>124</v>
      </c>
      <c r="K14" t="s">
        <v>123</v>
      </c>
      <c r="L14" t="s">
        <v>124</v>
      </c>
      <c r="M14">
        <v>124</v>
      </c>
      <c r="N14" t="s">
        <v>31</v>
      </c>
      <c r="O14">
        <v>51088</v>
      </c>
      <c r="P14" t="s">
        <v>32</v>
      </c>
      <c r="Q14">
        <v>1</v>
      </c>
      <c r="T14" t="s">
        <v>321</v>
      </c>
      <c r="U14">
        <v>412</v>
      </c>
      <c r="V14">
        <v>490.28</v>
      </c>
    </row>
    <row r="15" spans="1:22" x14ac:dyDescent="0.25">
      <c r="A15">
        <v>1000567451</v>
      </c>
      <c r="B15" t="s">
        <v>106</v>
      </c>
      <c r="C15" t="s">
        <v>126</v>
      </c>
      <c r="D15" t="s">
        <v>23</v>
      </c>
      <c r="E15" t="s">
        <v>127</v>
      </c>
      <c r="F15" t="s">
        <v>37</v>
      </c>
      <c r="H15" t="s">
        <v>122</v>
      </c>
      <c r="I15" t="s">
        <v>123</v>
      </c>
      <c r="J15" t="s">
        <v>124</v>
      </c>
      <c r="K15" t="s">
        <v>123</v>
      </c>
      <c r="L15" t="s">
        <v>124</v>
      </c>
      <c r="M15">
        <v>320</v>
      </c>
      <c r="N15" t="s">
        <v>31</v>
      </c>
      <c r="O15">
        <v>17600</v>
      </c>
      <c r="P15" t="s">
        <v>32</v>
      </c>
      <c r="Q15">
        <v>1</v>
      </c>
      <c r="T15" t="s">
        <v>320</v>
      </c>
      <c r="U15">
        <v>55</v>
      </c>
      <c r="V15">
        <v>65.45</v>
      </c>
    </row>
    <row r="16" spans="1:22" x14ac:dyDescent="0.25">
      <c r="A16">
        <v>1000567449</v>
      </c>
      <c r="B16" t="s">
        <v>106</v>
      </c>
      <c r="C16" t="s">
        <v>126</v>
      </c>
      <c r="D16" t="s">
        <v>23</v>
      </c>
      <c r="E16" t="s">
        <v>127</v>
      </c>
      <c r="F16" t="s">
        <v>37</v>
      </c>
      <c r="H16" t="s">
        <v>122</v>
      </c>
      <c r="I16" t="s">
        <v>123</v>
      </c>
      <c r="J16" t="s">
        <v>124</v>
      </c>
      <c r="K16" t="s">
        <v>123</v>
      </c>
      <c r="L16" t="s">
        <v>124</v>
      </c>
      <c r="M16">
        <v>124</v>
      </c>
      <c r="N16" t="s">
        <v>31</v>
      </c>
      <c r="O16">
        <v>6820</v>
      </c>
      <c r="P16" t="s">
        <v>32</v>
      </c>
      <c r="Q16">
        <v>1</v>
      </c>
      <c r="T16" t="s">
        <v>319</v>
      </c>
      <c r="U16">
        <v>55</v>
      </c>
      <c r="V16">
        <v>65.45</v>
      </c>
    </row>
    <row r="17" spans="1:22" x14ac:dyDescent="0.25">
      <c r="A17">
        <v>1000567442</v>
      </c>
      <c r="B17" t="s">
        <v>106</v>
      </c>
      <c r="C17" t="s">
        <v>157</v>
      </c>
      <c r="D17" t="s">
        <v>23</v>
      </c>
      <c r="E17" t="s">
        <v>158</v>
      </c>
      <c r="F17" t="s">
        <v>37</v>
      </c>
      <c r="H17" t="s">
        <v>122</v>
      </c>
      <c r="I17" t="s">
        <v>123</v>
      </c>
      <c r="J17" t="s">
        <v>124</v>
      </c>
      <c r="K17" t="s">
        <v>123</v>
      </c>
      <c r="L17" t="s">
        <v>124</v>
      </c>
      <c r="M17">
        <v>124</v>
      </c>
      <c r="N17" t="s">
        <v>31</v>
      </c>
      <c r="O17">
        <v>6200</v>
      </c>
      <c r="P17" t="s">
        <v>32</v>
      </c>
      <c r="Q17">
        <v>1</v>
      </c>
      <c r="T17" t="s">
        <v>318</v>
      </c>
      <c r="U17">
        <v>50</v>
      </c>
      <c r="V17">
        <v>59.5</v>
      </c>
    </row>
    <row r="18" spans="1:22" x14ac:dyDescent="0.25">
      <c r="A18">
        <v>1000567438</v>
      </c>
      <c r="B18" t="s">
        <v>106</v>
      </c>
      <c r="C18" t="s">
        <v>176</v>
      </c>
      <c r="D18" t="s">
        <v>23</v>
      </c>
      <c r="E18" t="s">
        <v>177</v>
      </c>
      <c r="F18" t="s">
        <v>37</v>
      </c>
      <c r="H18" t="s">
        <v>122</v>
      </c>
      <c r="I18" t="s">
        <v>123</v>
      </c>
      <c r="J18" t="s">
        <v>124</v>
      </c>
      <c r="K18" t="s">
        <v>123</v>
      </c>
      <c r="L18" t="s">
        <v>124</v>
      </c>
      <c r="M18">
        <v>124</v>
      </c>
      <c r="N18" t="s">
        <v>31</v>
      </c>
      <c r="O18">
        <v>25172</v>
      </c>
      <c r="P18" t="s">
        <v>32</v>
      </c>
      <c r="Q18">
        <v>1</v>
      </c>
      <c r="T18" t="s">
        <v>317</v>
      </c>
      <c r="U18">
        <v>203</v>
      </c>
      <c r="V18">
        <v>241.57</v>
      </c>
    </row>
    <row r="19" spans="1:22" x14ac:dyDescent="0.25">
      <c r="A19">
        <v>1000567430</v>
      </c>
      <c r="B19" t="s">
        <v>106</v>
      </c>
      <c r="C19" t="s">
        <v>141</v>
      </c>
      <c r="D19" t="s">
        <v>23</v>
      </c>
      <c r="E19" t="s">
        <v>142</v>
      </c>
      <c r="F19" t="s">
        <v>37</v>
      </c>
      <c r="H19" t="s">
        <v>122</v>
      </c>
      <c r="I19" t="s">
        <v>123</v>
      </c>
      <c r="J19" t="s">
        <v>124</v>
      </c>
      <c r="K19" t="s">
        <v>123</v>
      </c>
      <c r="L19" t="s">
        <v>124</v>
      </c>
      <c r="M19">
        <v>320</v>
      </c>
      <c r="N19" t="s">
        <v>31</v>
      </c>
      <c r="O19">
        <v>112000</v>
      </c>
      <c r="P19" t="s">
        <v>32</v>
      </c>
      <c r="Q19">
        <v>1</v>
      </c>
      <c r="T19" t="s">
        <v>316</v>
      </c>
      <c r="U19">
        <v>350</v>
      </c>
      <c r="V19">
        <v>416.5</v>
      </c>
    </row>
    <row r="20" spans="1:22" x14ac:dyDescent="0.25">
      <c r="A20">
        <v>1000567428</v>
      </c>
      <c r="B20" t="s">
        <v>106</v>
      </c>
      <c r="C20" t="s">
        <v>110</v>
      </c>
      <c r="D20" t="s">
        <v>23</v>
      </c>
      <c r="E20" t="s">
        <v>111</v>
      </c>
      <c r="F20" t="s">
        <v>37</v>
      </c>
      <c r="H20" t="s">
        <v>122</v>
      </c>
      <c r="I20" t="s">
        <v>123</v>
      </c>
      <c r="J20" t="s">
        <v>124</v>
      </c>
      <c r="K20" t="s">
        <v>123</v>
      </c>
      <c r="L20" t="s">
        <v>124</v>
      </c>
      <c r="M20">
        <v>124</v>
      </c>
      <c r="N20" t="s">
        <v>31</v>
      </c>
      <c r="O20">
        <v>620</v>
      </c>
      <c r="P20" t="s">
        <v>32</v>
      </c>
      <c r="Q20">
        <v>1</v>
      </c>
      <c r="T20" t="s">
        <v>315</v>
      </c>
      <c r="U20">
        <v>5</v>
      </c>
      <c r="V20">
        <v>5.9499999999999993</v>
      </c>
    </row>
    <row r="21" spans="1:22" x14ac:dyDescent="0.25">
      <c r="A21">
        <v>1000567425</v>
      </c>
      <c r="B21" t="s">
        <v>106</v>
      </c>
      <c r="C21" t="s">
        <v>135</v>
      </c>
      <c r="D21" t="s">
        <v>23</v>
      </c>
      <c r="E21" t="s">
        <v>136</v>
      </c>
      <c r="F21" t="s">
        <v>37</v>
      </c>
      <c r="H21" t="s">
        <v>122</v>
      </c>
      <c r="I21" t="s">
        <v>123</v>
      </c>
      <c r="J21" t="s">
        <v>124</v>
      </c>
      <c r="K21" t="s">
        <v>123</v>
      </c>
      <c r="L21" t="s">
        <v>124</v>
      </c>
      <c r="M21">
        <v>320</v>
      </c>
      <c r="N21" t="s">
        <v>31</v>
      </c>
      <c r="O21">
        <v>34560</v>
      </c>
      <c r="P21" t="s">
        <v>32</v>
      </c>
      <c r="Q21">
        <v>1</v>
      </c>
      <c r="T21" t="s">
        <v>314</v>
      </c>
      <c r="U21">
        <v>108</v>
      </c>
      <c r="V21">
        <v>128.52000000000001</v>
      </c>
    </row>
    <row r="22" spans="1:22" x14ac:dyDescent="0.25">
      <c r="A22">
        <v>1000567424</v>
      </c>
      <c r="B22" t="s">
        <v>106</v>
      </c>
      <c r="C22" t="s">
        <v>138</v>
      </c>
      <c r="D22" t="s">
        <v>23</v>
      </c>
      <c r="E22" t="s">
        <v>139</v>
      </c>
      <c r="F22" t="s">
        <v>37</v>
      </c>
      <c r="H22" t="s">
        <v>122</v>
      </c>
      <c r="I22" t="s">
        <v>123</v>
      </c>
      <c r="J22" t="s">
        <v>124</v>
      </c>
      <c r="K22" t="s">
        <v>123</v>
      </c>
      <c r="L22" t="s">
        <v>124</v>
      </c>
      <c r="M22">
        <v>124</v>
      </c>
      <c r="N22" t="s">
        <v>31</v>
      </c>
      <c r="O22">
        <v>159588</v>
      </c>
      <c r="P22" t="s">
        <v>32</v>
      </c>
      <c r="Q22">
        <v>1</v>
      </c>
      <c r="T22" t="s">
        <v>313</v>
      </c>
      <c r="U22">
        <v>1287</v>
      </c>
      <c r="V22">
        <v>1531.53</v>
      </c>
    </row>
    <row r="23" spans="1:22" x14ac:dyDescent="0.25">
      <c r="A23">
        <v>1000567423</v>
      </c>
      <c r="B23" t="s">
        <v>106</v>
      </c>
      <c r="C23" t="s">
        <v>141</v>
      </c>
      <c r="D23" t="s">
        <v>23</v>
      </c>
      <c r="E23" t="s">
        <v>142</v>
      </c>
      <c r="F23" t="s">
        <v>37</v>
      </c>
      <c r="H23" t="s">
        <v>122</v>
      </c>
      <c r="I23" t="s">
        <v>123</v>
      </c>
      <c r="J23" t="s">
        <v>124</v>
      </c>
      <c r="K23" t="s">
        <v>123</v>
      </c>
      <c r="L23" t="s">
        <v>124</v>
      </c>
      <c r="M23">
        <v>124</v>
      </c>
      <c r="N23" t="s">
        <v>31</v>
      </c>
      <c r="O23">
        <v>43400</v>
      </c>
      <c r="P23" t="s">
        <v>32</v>
      </c>
      <c r="Q23">
        <v>1</v>
      </c>
      <c r="T23" t="s">
        <v>312</v>
      </c>
      <c r="U23">
        <v>350</v>
      </c>
      <c r="V23">
        <v>416.5</v>
      </c>
    </row>
    <row r="24" spans="1:22" x14ac:dyDescent="0.25">
      <c r="A24">
        <v>1000567419</v>
      </c>
      <c r="B24" t="s">
        <v>106</v>
      </c>
      <c r="C24" t="s">
        <v>176</v>
      </c>
      <c r="D24" t="s">
        <v>23</v>
      </c>
      <c r="E24" t="s">
        <v>177</v>
      </c>
      <c r="F24" t="s">
        <v>37</v>
      </c>
      <c r="H24" t="s">
        <v>122</v>
      </c>
      <c r="I24" t="s">
        <v>123</v>
      </c>
      <c r="J24" t="s">
        <v>124</v>
      </c>
      <c r="K24" t="s">
        <v>123</v>
      </c>
      <c r="L24" t="s">
        <v>124</v>
      </c>
      <c r="M24">
        <v>124</v>
      </c>
      <c r="N24" t="s">
        <v>31</v>
      </c>
      <c r="O24">
        <v>25172</v>
      </c>
      <c r="P24" t="s">
        <v>32</v>
      </c>
      <c r="Q24">
        <v>1</v>
      </c>
      <c r="T24" t="s">
        <v>311</v>
      </c>
      <c r="U24">
        <v>203</v>
      </c>
      <c r="V24">
        <v>241.57</v>
      </c>
    </row>
    <row r="25" spans="1:22" x14ac:dyDescent="0.25">
      <c r="A25">
        <v>1000567417</v>
      </c>
      <c r="B25" t="s">
        <v>106</v>
      </c>
      <c r="C25" t="s">
        <v>160</v>
      </c>
      <c r="D25" t="s">
        <v>23</v>
      </c>
      <c r="E25" t="s">
        <v>161</v>
      </c>
      <c r="F25" t="s">
        <v>37</v>
      </c>
      <c r="H25" t="s">
        <v>122</v>
      </c>
      <c r="I25" t="s">
        <v>123</v>
      </c>
      <c r="J25" t="s">
        <v>124</v>
      </c>
      <c r="K25" t="s">
        <v>123</v>
      </c>
      <c r="L25" t="s">
        <v>124</v>
      </c>
      <c r="M25">
        <v>124</v>
      </c>
      <c r="N25" t="s">
        <v>31</v>
      </c>
      <c r="O25">
        <v>2976</v>
      </c>
      <c r="P25" t="s">
        <v>32</v>
      </c>
      <c r="Q25">
        <v>1</v>
      </c>
      <c r="T25" t="s">
        <v>310</v>
      </c>
      <c r="U25">
        <v>24</v>
      </c>
      <c r="V25">
        <v>28.56</v>
      </c>
    </row>
    <row r="26" spans="1:22" x14ac:dyDescent="0.25">
      <c r="A26">
        <v>1000567416</v>
      </c>
      <c r="B26" t="s">
        <v>106</v>
      </c>
      <c r="C26" t="s">
        <v>110</v>
      </c>
      <c r="D26" t="s">
        <v>23</v>
      </c>
      <c r="E26" t="s">
        <v>111</v>
      </c>
      <c r="F26" t="s">
        <v>37</v>
      </c>
      <c r="H26" t="s">
        <v>122</v>
      </c>
      <c r="I26" t="s">
        <v>123</v>
      </c>
      <c r="J26" t="s">
        <v>124</v>
      </c>
      <c r="K26" t="s">
        <v>123</v>
      </c>
      <c r="L26" t="s">
        <v>124</v>
      </c>
      <c r="M26">
        <v>320</v>
      </c>
      <c r="N26" t="s">
        <v>31</v>
      </c>
      <c r="O26">
        <v>1600</v>
      </c>
      <c r="P26" t="s">
        <v>32</v>
      </c>
      <c r="Q26">
        <v>1</v>
      </c>
      <c r="T26" t="s">
        <v>309</v>
      </c>
      <c r="U26">
        <v>5</v>
      </c>
      <c r="V26">
        <v>5.9499999999999993</v>
      </c>
    </row>
    <row r="27" spans="1:22" x14ac:dyDescent="0.25">
      <c r="A27">
        <v>1000567415</v>
      </c>
      <c r="B27" t="s">
        <v>106</v>
      </c>
      <c r="C27" t="s">
        <v>210</v>
      </c>
      <c r="D27" t="s">
        <v>23</v>
      </c>
      <c r="E27" t="s">
        <v>211</v>
      </c>
      <c r="F27" t="s">
        <v>37</v>
      </c>
      <c r="H27" t="s">
        <v>122</v>
      </c>
      <c r="I27" t="s">
        <v>123</v>
      </c>
      <c r="J27" t="s">
        <v>124</v>
      </c>
      <c r="K27" t="s">
        <v>123</v>
      </c>
      <c r="L27" t="s">
        <v>124</v>
      </c>
      <c r="M27">
        <v>320</v>
      </c>
      <c r="N27" t="s">
        <v>31</v>
      </c>
      <c r="O27">
        <v>60480</v>
      </c>
      <c r="P27" t="s">
        <v>32</v>
      </c>
      <c r="Q27">
        <v>1</v>
      </c>
      <c r="T27" t="s">
        <v>308</v>
      </c>
      <c r="U27">
        <v>189</v>
      </c>
      <c r="V27">
        <v>224.91</v>
      </c>
    </row>
    <row r="28" spans="1:22" x14ac:dyDescent="0.25">
      <c r="A28">
        <v>1000567405</v>
      </c>
      <c r="B28" t="s">
        <v>106</v>
      </c>
      <c r="C28" t="s">
        <v>110</v>
      </c>
      <c r="D28" t="s">
        <v>23</v>
      </c>
      <c r="E28" t="s">
        <v>111</v>
      </c>
      <c r="F28" t="s">
        <v>37</v>
      </c>
      <c r="H28" t="s">
        <v>122</v>
      </c>
      <c r="I28" t="s">
        <v>123</v>
      </c>
      <c r="J28" t="s">
        <v>124</v>
      </c>
      <c r="K28" t="s">
        <v>123</v>
      </c>
      <c r="L28" t="s">
        <v>124</v>
      </c>
      <c r="M28">
        <v>320</v>
      </c>
      <c r="N28" t="s">
        <v>31</v>
      </c>
      <c r="O28">
        <v>960</v>
      </c>
      <c r="P28" t="s">
        <v>32</v>
      </c>
      <c r="Q28">
        <v>1</v>
      </c>
      <c r="T28" t="s">
        <v>307</v>
      </c>
      <c r="U28">
        <v>3</v>
      </c>
      <c r="V28">
        <v>3.57</v>
      </c>
    </row>
    <row r="29" spans="1:22" x14ac:dyDescent="0.25">
      <c r="A29">
        <v>1000567399</v>
      </c>
      <c r="B29" t="s">
        <v>106</v>
      </c>
      <c r="C29" t="s">
        <v>148</v>
      </c>
      <c r="D29" t="s">
        <v>23</v>
      </c>
      <c r="E29" t="s">
        <v>149</v>
      </c>
      <c r="F29" t="s">
        <v>37</v>
      </c>
      <c r="H29" t="s">
        <v>122</v>
      </c>
      <c r="I29" t="s">
        <v>123</v>
      </c>
      <c r="J29" t="s">
        <v>124</v>
      </c>
      <c r="K29" t="s">
        <v>123</v>
      </c>
      <c r="L29" t="s">
        <v>124</v>
      </c>
      <c r="M29">
        <v>320</v>
      </c>
      <c r="N29" t="s">
        <v>31</v>
      </c>
      <c r="O29">
        <v>131840</v>
      </c>
      <c r="P29" t="s">
        <v>32</v>
      </c>
      <c r="Q29">
        <v>1</v>
      </c>
      <c r="T29" t="s">
        <v>306</v>
      </c>
      <c r="U29">
        <v>412</v>
      </c>
      <c r="V29">
        <v>490.28</v>
      </c>
    </row>
    <row r="30" spans="1:22" x14ac:dyDescent="0.25">
      <c r="A30">
        <v>1000567397</v>
      </c>
      <c r="B30" t="s">
        <v>106</v>
      </c>
      <c r="C30" t="s">
        <v>148</v>
      </c>
      <c r="D30" t="s">
        <v>23</v>
      </c>
      <c r="E30" t="s">
        <v>149</v>
      </c>
      <c r="F30" t="s">
        <v>37</v>
      </c>
      <c r="H30" t="s">
        <v>122</v>
      </c>
      <c r="I30" t="s">
        <v>123</v>
      </c>
      <c r="J30" t="s">
        <v>124</v>
      </c>
      <c r="K30" t="s">
        <v>123</v>
      </c>
      <c r="L30" t="s">
        <v>124</v>
      </c>
      <c r="M30">
        <v>124</v>
      </c>
      <c r="N30" t="s">
        <v>31</v>
      </c>
      <c r="O30">
        <v>52328</v>
      </c>
      <c r="P30" t="s">
        <v>32</v>
      </c>
      <c r="Q30">
        <v>1</v>
      </c>
      <c r="T30" t="s">
        <v>305</v>
      </c>
      <c r="U30">
        <v>422</v>
      </c>
      <c r="V30">
        <v>502.17999999999989</v>
      </c>
    </row>
    <row r="31" spans="1:22" x14ac:dyDescent="0.25">
      <c r="A31">
        <v>1000567392</v>
      </c>
      <c r="B31" t="s">
        <v>106</v>
      </c>
      <c r="C31" t="s">
        <v>186</v>
      </c>
      <c r="D31" t="s">
        <v>23</v>
      </c>
      <c r="E31" t="s">
        <v>187</v>
      </c>
      <c r="F31" t="s">
        <v>37</v>
      </c>
      <c r="H31" t="s">
        <v>122</v>
      </c>
      <c r="I31" t="s">
        <v>123</v>
      </c>
      <c r="J31" t="s">
        <v>124</v>
      </c>
      <c r="K31" t="s">
        <v>123</v>
      </c>
      <c r="L31" t="s">
        <v>124</v>
      </c>
      <c r="M31">
        <v>124</v>
      </c>
      <c r="N31" t="s">
        <v>31</v>
      </c>
      <c r="O31">
        <v>15128</v>
      </c>
      <c r="P31" t="s">
        <v>32</v>
      </c>
      <c r="Q31">
        <v>1</v>
      </c>
      <c r="T31" t="s">
        <v>304</v>
      </c>
      <c r="U31">
        <v>122</v>
      </c>
      <c r="V31">
        <v>145.18</v>
      </c>
    </row>
    <row r="32" spans="1:22" x14ac:dyDescent="0.25">
      <c r="A32">
        <v>1000567387</v>
      </c>
      <c r="B32" t="s">
        <v>106</v>
      </c>
      <c r="C32" t="s">
        <v>160</v>
      </c>
      <c r="D32" t="s">
        <v>23</v>
      </c>
      <c r="E32" t="s">
        <v>161</v>
      </c>
      <c r="F32" t="s">
        <v>37</v>
      </c>
      <c r="H32" t="s">
        <v>122</v>
      </c>
      <c r="I32" t="s">
        <v>123</v>
      </c>
      <c r="J32" t="s">
        <v>124</v>
      </c>
      <c r="K32" t="s">
        <v>123</v>
      </c>
      <c r="L32" t="s">
        <v>124</v>
      </c>
      <c r="M32">
        <v>124</v>
      </c>
      <c r="N32" t="s">
        <v>31</v>
      </c>
      <c r="O32">
        <v>2976</v>
      </c>
      <c r="P32" t="s">
        <v>32</v>
      </c>
      <c r="Q32">
        <v>1</v>
      </c>
      <c r="T32" t="s">
        <v>303</v>
      </c>
      <c r="U32">
        <v>24</v>
      </c>
      <c r="V32">
        <v>28.56</v>
      </c>
    </row>
    <row r="33" spans="1:22" x14ac:dyDescent="0.25">
      <c r="A33">
        <v>1000567383</v>
      </c>
      <c r="B33" t="s">
        <v>106</v>
      </c>
      <c r="C33" t="s">
        <v>110</v>
      </c>
      <c r="D33" t="s">
        <v>23</v>
      </c>
      <c r="E33" t="s">
        <v>111</v>
      </c>
      <c r="F33" t="s">
        <v>37</v>
      </c>
      <c r="H33" t="s">
        <v>122</v>
      </c>
      <c r="I33" t="s">
        <v>123</v>
      </c>
      <c r="J33" t="s">
        <v>124</v>
      </c>
      <c r="K33" t="s">
        <v>221</v>
      </c>
      <c r="L33" t="s">
        <v>151</v>
      </c>
      <c r="M33">
        <v>124</v>
      </c>
      <c r="N33" t="s">
        <v>31</v>
      </c>
      <c r="O33">
        <v>372</v>
      </c>
      <c r="P33" t="s">
        <v>32</v>
      </c>
      <c r="Q33">
        <v>1</v>
      </c>
      <c r="T33" t="s">
        <v>302</v>
      </c>
      <c r="U33">
        <v>3</v>
      </c>
      <c r="V33">
        <v>3.57</v>
      </c>
    </row>
    <row r="34" spans="1:22" x14ac:dyDescent="0.25">
      <c r="A34">
        <v>1000567212</v>
      </c>
      <c r="B34" t="s">
        <v>106</v>
      </c>
      <c r="C34" t="s">
        <v>107</v>
      </c>
      <c r="D34" t="s">
        <v>23</v>
      </c>
      <c r="E34" t="s">
        <v>108</v>
      </c>
      <c r="F34" t="s">
        <v>25</v>
      </c>
      <c r="H34" t="s">
        <v>46</v>
      </c>
      <c r="I34" t="s">
        <v>47</v>
      </c>
      <c r="J34" t="s">
        <v>76</v>
      </c>
      <c r="K34" t="s">
        <v>47</v>
      </c>
      <c r="L34" t="s">
        <v>76</v>
      </c>
      <c r="M34">
        <v>56</v>
      </c>
      <c r="N34" t="s">
        <v>31</v>
      </c>
      <c r="O34">
        <v>134288</v>
      </c>
      <c r="P34" t="s">
        <v>32</v>
      </c>
      <c r="Q34">
        <v>1</v>
      </c>
      <c r="T34" t="s">
        <v>109</v>
      </c>
      <c r="U34">
        <v>2398</v>
      </c>
      <c r="V34">
        <v>2853.62</v>
      </c>
    </row>
    <row r="35" spans="1:22" x14ac:dyDescent="0.25">
      <c r="A35">
        <v>1000567213</v>
      </c>
      <c r="B35" t="s">
        <v>106</v>
      </c>
      <c r="C35" t="s">
        <v>110</v>
      </c>
      <c r="D35" t="s">
        <v>23</v>
      </c>
      <c r="E35" t="s">
        <v>111</v>
      </c>
      <c r="F35" t="s">
        <v>25</v>
      </c>
      <c r="H35" t="s">
        <v>46</v>
      </c>
      <c r="I35" t="s">
        <v>47</v>
      </c>
      <c r="J35" t="s">
        <v>76</v>
      </c>
      <c r="K35" t="s">
        <v>47</v>
      </c>
      <c r="L35" t="s">
        <v>76</v>
      </c>
      <c r="M35">
        <v>56</v>
      </c>
      <c r="N35" t="s">
        <v>31</v>
      </c>
      <c r="O35">
        <v>168</v>
      </c>
      <c r="P35" t="s">
        <v>32</v>
      </c>
      <c r="Q35">
        <v>1</v>
      </c>
      <c r="T35" t="s">
        <v>112</v>
      </c>
      <c r="U35">
        <v>3</v>
      </c>
      <c r="V35">
        <v>3.57</v>
      </c>
    </row>
    <row r="36" spans="1:22" x14ac:dyDescent="0.25">
      <c r="A36">
        <v>1000567215</v>
      </c>
      <c r="B36" t="s">
        <v>106</v>
      </c>
      <c r="C36" t="s">
        <v>113</v>
      </c>
      <c r="D36" t="s">
        <v>23</v>
      </c>
      <c r="E36" t="s">
        <v>114</v>
      </c>
      <c r="F36" t="s">
        <v>25</v>
      </c>
      <c r="H36" t="s">
        <v>47</v>
      </c>
      <c r="I36" t="s">
        <v>115</v>
      </c>
      <c r="J36" t="s">
        <v>58</v>
      </c>
      <c r="K36" t="s">
        <v>58</v>
      </c>
      <c r="M36">
        <v>44</v>
      </c>
      <c r="N36" t="s">
        <v>31</v>
      </c>
      <c r="O36">
        <v>20020</v>
      </c>
      <c r="P36" t="s">
        <v>32</v>
      </c>
      <c r="Q36">
        <v>1</v>
      </c>
      <c r="T36" t="s">
        <v>116</v>
      </c>
      <c r="U36">
        <v>455</v>
      </c>
      <c r="V36">
        <v>541.44999999999993</v>
      </c>
    </row>
    <row r="37" spans="1:22" x14ac:dyDescent="0.25">
      <c r="A37">
        <v>1000567217</v>
      </c>
      <c r="B37" t="s">
        <v>106</v>
      </c>
      <c r="C37" t="s">
        <v>117</v>
      </c>
      <c r="D37" t="s">
        <v>23</v>
      </c>
      <c r="E37" t="s">
        <v>118</v>
      </c>
      <c r="F37" t="s">
        <v>25</v>
      </c>
      <c r="H37" t="s">
        <v>47</v>
      </c>
      <c r="I37" t="s">
        <v>115</v>
      </c>
      <c r="J37" t="s">
        <v>58</v>
      </c>
      <c r="K37" t="s">
        <v>101</v>
      </c>
      <c r="M37">
        <v>44</v>
      </c>
      <c r="N37" t="s">
        <v>31</v>
      </c>
      <c r="O37">
        <v>836</v>
      </c>
      <c r="P37" t="s">
        <v>32</v>
      </c>
      <c r="Q37">
        <v>1</v>
      </c>
      <c r="T37" t="s">
        <v>119</v>
      </c>
      <c r="U37">
        <v>19</v>
      </c>
      <c r="V37">
        <v>22.61</v>
      </c>
    </row>
    <row r="38" spans="1:22" x14ac:dyDescent="0.25">
      <c r="A38">
        <v>1000567229</v>
      </c>
      <c r="B38" t="s">
        <v>106</v>
      </c>
      <c r="C38" t="s">
        <v>120</v>
      </c>
      <c r="D38" t="s">
        <v>23</v>
      </c>
      <c r="E38" t="s">
        <v>121</v>
      </c>
      <c r="F38" t="s">
        <v>25</v>
      </c>
      <c r="H38" t="s">
        <v>122</v>
      </c>
      <c r="I38" t="s">
        <v>123</v>
      </c>
      <c r="J38" t="s">
        <v>124</v>
      </c>
      <c r="K38" t="s">
        <v>123</v>
      </c>
      <c r="L38" t="s">
        <v>124</v>
      </c>
      <c r="M38">
        <v>124</v>
      </c>
      <c r="N38" t="s">
        <v>31</v>
      </c>
      <c r="O38">
        <v>6820</v>
      </c>
      <c r="P38" t="s">
        <v>32</v>
      </c>
      <c r="Q38">
        <v>1</v>
      </c>
      <c r="T38" t="s">
        <v>125</v>
      </c>
      <c r="U38">
        <v>55</v>
      </c>
      <c r="V38">
        <v>65.45</v>
      </c>
    </row>
    <row r="39" spans="1:22" x14ac:dyDescent="0.25">
      <c r="A39">
        <v>1000567234</v>
      </c>
      <c r="B39" t="s">
        <v>106</v>
      </c>
      <c r="C39" t="s">
        <v>126</v>
      </c>
      <c r="D39" t="s">
        <v>23</v>
      </c>
      <c r="E39" t="s">
        <v>127</v>
      </c>
      <c r="F39" t="s">
        <v>25</v>
      </c>
      <c r="H39" t="s">
        <v>47</v>
      </c>
      <c r="I39" t="s">
        <v>115</v>
      </c>
      <c r="J39" t="s">
        <v>58</v>
      </c>
      <c r="K39" t="s">
        <v>115</v>
      </c>
      <c r="M39">
        <v>44</v>
      </c>
      <c r="N39" t="s">
        <v>31</v>
      </c>
      <c r="O39">
        <v>2420</v>
      </c>
      <c r="P39" t="s">
        <v>32</v>
      </c>
      <c r="Q39">
        <v>1</v>
      </c>
      <c r="T39" t="s">
        <v>128</v>
      </c>
      <c r="U39">
        <v>55</v>
      </c>
      <c r="V39">
        <v>65.45</v>
      </c>
    </row>
    <row r="40" spans="1:22" x14ac:dyDescent="0.25">
      <c r="A40">
        <v>1000567240</v>
      </c>
      <c r="B40" t="s">
        <v>106</v>
      </c>
      <c r="C40" t="s">
        <v>110</v>
      </c>
      <c r="D40" t="s">
        <v>23</v>
      </c>
      <c r="E40" t="s">
        <v>111</v>
      </c>
      <c r="F40" t="s">
        <v>25</v>
      </c>
      <c r="H40" t="s">
        <v>47</v>
      </c>
      <c r="I40" t="s">
        <v>115</v>
      </c>
      <c r="J40" t="s">
        <v>58</v>
      </c>
      <c r="K40" t="s">
        <v>101</v>
      </c>
      <c r="M40">
        <v>44</v>
      </c>
      <c r="N40" t="s">
        <v>31</v>
      </c>
      <c r="O40">
        <v>220</v>
      </c>
      <c r="P40" t="s">
        <v>32</v>
      </c>
      <c r="Q40">
        <v>1</v>
      </c>
      <c r="T40" t="s">
        <v>129</v>
      </c>
      <c r="U40">
        <v>5</v>
      </c>
      <c r="V40">
        <v>5.9499999999999993</v>
      </c>
    </row>
    <row r="41" spans="1:22" x14ac:dyDescent="0.25">
      <c r="A41">
        <v>1000567241</v>
      </c>
      <c r="B41" t="s">
        <v>106</v>
      </c>
      <c r="C41" t="s">
        <v>126</v>
      </c>
      <c r="D41" t="s">
        <v>23</v>
      </c>
      <c r="E41" t="s">
        <v>127</v>
      </c>
      <c r="F41" t="s">
        <v>25</v>
      </c>
      <c r="H41" t="s">
        <v>46</v>
      </c>
      <c r="I41" t="s">
        <v>47</v>
      </c>
      <c r="J41" t="s">
        <v>76</v>
      </c>
      <c r="K41" t="s">
        <v>47</v>
      </c>
      <c r="L41" t="s">
        <v>76</v>
      </c>
      <c r="M41">
        <v>56</v>
      </c>
      <c r="N41" t="s">
        <v>31</v>
      </c>
      <c r="O41">
        <v>3080</v>
      </c>
      <c r="P41" t="s">
        <v>32</v>
      </c>
      <c r="Q41">
        <v>1</v>
      </c>
      <c r="T41" t="s">
        <v>130</v>
      </c>
      <c r="U41">
        <v>55</v>
      </c>
      <c r="V41">
        <v>65.45</v>
      </c>
    </row>
    <row r="42" spans="1:22" x14ac:dyDescent="0.25">
      <c r="A42">
        <v>1000567244</v>
      </c>
      <c r="B42" t="s">
        <v>106</v>
      </c>
      <c r="C42" t="s">
        <v>117</v>
      </c>
      <c r="D42" t="s">
        <v>23</v>
      </c>
      <c r="E42" t="s">
        <v>118</v>
      </c>
      <c r="F42" t="s">
        <v>25</v>
      </c>
      <c r="H42" t="s">
        <v>46</v>
      </c>
      <c r="I42" t="s">
        <v>47</v>
      </c>
      <c r="J42" t="s">
        <v>76</v>
      </c>
      <c r="K42" t="s">
        <v>47</v>
      </c>
      <c r="L42" t="s">
        <v>76</v>
      </c>
      <c r="M42">
        <v>56</v>
      </c>
      <c r="N42" t="s">
        <v>31</v>
      </c>
      <c r="O42">
        <v>1064</v>
      </c>
      <c r="P42" t="s">
        <v>32</v>
      </c>
      <c r="Q42">
        <v>1</v>
      </c>
      <c r="T42" t="s">
        <v>131</v>
      </c>
      <c r="U42">
        <v>19</v>
      </c>
      <c r="V42">
        <v>22.61</v>
      </c>
    </row>
    <row r="43" spans="1:22" x14ac:dyDescent="0.25">
      <c r="A43">
        <v>1000567248</v>
      </c>
      <c r="B43" t="s">
        <v>106</v>
      </c>
      <c r="C43" t="s">
        <v>132</v>
      </c>
      <c r="D43" t="s">
        <v>23</v>
      </c>
      <c r="E43" t="s">
        <v>133</v>
      </c>
      <c r="F43" t="s">
        <v>25</v>
      </c>
      <c r="H43" t="s">
        <v>122</v>
      </c>
      <c r="I43" t="s">
        <v>123</v>
      </c>
      <c r="J43" t="s">
        <v>124</v>
      </c>
      <c r="K43" t="s">
        <v>123</v>
      </c>
      <c r="L43" t="s">
        <v>124</v>
      </c>
      <c r="M43">
        <v>512</v>
      </c>
      <c r="N43" t="s">
        <v>31</v>
      </c>
      <c r="O43">
        <v>179200</v>
      </c>
      <c r="P43" t="s">
        <v>32</v>
      </c>
      <c r="Q43">
        <v>1</v>
      </c>
      <c r="T43" t="s">
        <v>134</v>
      </c>
      <c r="U43">
        <v>350</v>
      </c>
      <c r="V43">
        <v>416.5</v>
      </c>
    </row>
    <row r="44" spans="1:22" x14ac:dyDescent="0.25">
      <c r="A44">
        <v>1000567251</v>
      </c>
      <c r="B44" t="s">
        <v>106</v>
      </c>
      <c r="C44" t="s">
        <v>135</v>
      </c>
      <c r="D44" t="s">
        <v>23</v>
      </c>
      <c r="E44" t="s">
        <v>136</v>
      </c>
      <c r="F44" t="s">
        <v>25</v>
      </c>
      <c r="H44" t="s">
        <v>47</v>
      </c>
      <c r="I44" t="s">
        <v>115</v>
      </c>
      <c r="J44" t="s">
        <v>58</v>
      </c>
      <c r="M44">
        <v>44</v>
      </c>
      <c r="N44" t="s">
        <v>31</v>
      </c>
      <c r="O44">
        <v>4752</v>
      </c>
      <c r="P44" t="s">
        <v>32</v>
      </c>
      <c r="Q44">
        <v>1</v>
      </c>
      <c r="T44" t="s">
        <v>137</v>
      </c>
      <c r="U44">
        <v>108</v>
      </c>
      <c r="V44">
        <v>128.52000000000001</v>
      </c>
    </row>
    <row r="45" spans="1:22" x14ac:dyDescent="0.25">
      <c r="A45">
        <v>1000567254</v>
      </c>
      <c r="B45" t="s">
        <v>106</v>
      </c>
      <c r="C45" t="s">
        <v>138</v>
      </c>
      <c r="D45" t="s">
        <v>23</v>
      </c>
      <c r="E45" t="s">
        <v>139</v>
      </c>
      <c r="F45" t="s">
        <v>25</v>
      </c>
      <c r="H45" t="s">
        <v>122</v>
      </c>
      <c r="I45" t="s">
        <v>123</v>
      </c>
      <c r="J45" t="s">
        <v>124</v>
      </c>
      <c r="K45" t="s">
        <v>123</v>
      </c>
      <c r="L45" t="s">
        <v>124</v>
      </c>
      <c r="M45">
        <v>512</v>
      </c>
      <c r="N45" t="s">
        <v>31</v>
      </c>
      <c r="O45">
        <v>745472</v>
      </c>
      <c r="P45" t="s">
        <v>32</v>
      </c>
      <c r="Q45">
        <v>1</v>
      </c>
      <c r="T45" t="s">
        <v>140</v>
      </c>
      <c r="U45">
        <v>1456</v>
      </c>
      <c r="V45">
        <v>1732.64</v>
      </c>
    </row>
    <row r="46" spans="1:22" x14ac:dyDescent="0.25">
      <c r="A46">
        <v>1000567255</v>
      </c>
      <c r="B46" t="s">
        <v>106</v>
      </c>
      <c r="C46" t="s">
        <v>141</v>
      </c>
      <c r="D46" t="s">
        <v>23</v>
      </c>
      <c r="E46" t="s">
        <v>142</v>
      </c>
      <c r="F46" t="s">
        <v>25</v>
      </c>
      <c r="H46" t="s">
        <v>46</v>
      </c>
      <c r="I46" t="s">
        <v>47</v>
      </c>
      <c r="J46" t="s">
        <v>76</v>
      </c>
      <c r="K46" t="s">
        <v>47</v>
      </c>
      <c r="L46" t="s">
        <v>76</v>
      </c>
      <c r="M46">
        <v>56</v>
      </c>
      <c r="N46" t="s">
        <v>31</v>
      </c>
      <c r="O46">
        <v>17920</v>
      </c>
      <c r="P46" t="s">
        <v>32</v>
      </c>
      <c r="Q46">
        <v>1</v>
      </c>
      <c r="T46" t="s">
        <v>143</v>
      </c>
      <c r="U46">
        <v>320</v>
      </c>
      <c r="V46">
        <v>380.8</v>
      </c>
    </row>
    <row r="47" spans="1:22" x14ac:dyDescent="0.25">
      <c r="A47">
        <v>1000567262</v>
      </c>
      <c r="B47" t="s">
        <v>106</v>
      </c>
      <c r="C47" t="s">
        <v>110</v>
      </c>
      <c r="D47" t="s">
        <v>23</v>
      </c>
      <c r="E47" t="s">
        <v>111</v>
      </c>
      <c r="F47" t="s">
        <v>25</v>
      </c>
      <c r="H47" t="s">
        <v>122</v>
      </c>
      <c r="I47" t="s">
        <v>123</v>
      </c>
      <c r="J47" t="s">
        <v>124</v>
      </c>
      <c r="K47" t="s">
        <v>123</v>
      </c>
      <c r="L47" t="s">
        <v>124</v>
      </c>
      <c r="M47">
        <v>512</v>
      </c>
      <c r="N47" t="s">
        <v>31</v>
      </c>
      <c r="O47">
        <v>2560</v>
      </c>
      <c r="P47" t="s">
        <v>32</v>
      </c>
      <c r="Q47">
        <v>1</v>
      </c>
      <c r="T47" t="s">
        <v>144</v>
      </c>
      <c r="U47">
        <v>5</v>
      </c>
      <c r="V47">
        <v>5.9499999999999993</v>
      </c>
    </row>
    <row r="48" spans="1:22" x14ac:dyDescent="0.25">
      <c r="A48">
        <v>1000567264</v>
      </c>
      <c r="B48" t="s">
        <v>106</v>
      </c>
      <c r="C48" t="s">
        <v>141</v>
      </c>
      <c r="D48" t="s">
        <v>23</v>
      </c>
      <c r="E48" t="s">
        <v>142</v>
      </c>
      <c r="F48" t="s">
        <v>25</v>
      </c>
      <c r="H48" t="s">
        <v>47</v>
      </c>
      <c r="I48" t="s">
        <v>115</v>
      </c>
      <c r="J48" t="s">
        <v>58</v>
      </c>
      <c r="M48">
        <v>44</v>
      </c>
      <c r="N48" t="s">
        <v>31</v>
      </c>
      <c r="O48">
        <v>15400</v>
      </c>
      <c r="P48" t="s">
        <v>32</v>
      </c>
      <c r="Q48">
        <v>1</v>
      </c>
      <c r="T48" t="s">
        <v>145</v>
      </c>
      <c r="U48">
        <v>350</v>
      </c>
      <c r="V48">
        <v>416.5</v>
      </c>
    </row>
    <row r="49" spans="1:22" x14ac:dyDescent="0.25">
      <c r="A49">
        <v>1000567268</v>
      </c>
      <c r="B49" t="s">
        <v>106</v>
      </c>
      <c r="C49" t="s">
        <v>117</v>
      </c>
      <c r="D49" t="s">
        <v>23</v>
      </c>
      <c r="E49" t="s">
        <v>118</v>
      </c>
      <c r="F49" t="s">
        <v>25</v>
      </c>
      <c r="H49" t="s">
        <v>122</v>
      </c>
      <c r="I49" t="s">
        <v>123</v>
      </c>
      <c r="J49" t="s">
        <v>124</v>
      </c>
      <c r="K49" t="s">
        <v>123</v>
      </c>
      <c r="L49" t="s">
        <v>124</v>
      </c>
      <c r="M49">
        <v>512</v>
      </c>
      <c r="N49" t="s">
        <v>31</v>
      </c>
      <c r="O49">
        <v>9728</v>
      </c>
      <c r="P49" t="s">
        <v>32</v>
      </c>
      <c r="Q49">
        <v>1</v>
      </c>
      <c r="T49" t="s">
        <v>146</v>
      </c>
      <c r="U49">
        <v>19</v>
      </c>
      <c r="V49">
        <v>22.61</v>
      </c>
    </row>
    <row r="50" spans="1:22" x14ac:dyDescent="0.25">
      <c r="A50">
        <v>1000567286</v>
      </c>
      <c r="B50" t="s">
        <v>106</v>
      </c>
      <c r="C50" t="s">
        <v>138</v>
      </c>
      <c r="D50" t="s">
        <v>23</v>
      </c>
      <c r="E50" t="s">
        <v>139</v>
      </c>
      <c r="F50" t="s">
        <v>25</v>
      </c>
      <c r="H50" t="s">
        <v>47</v>
      </c>
      <c r="I50" t="s">
        <v>115</v>
      </c>
      <c r="J50" t="s">
        <v>58</v>
      </c>
      <c r="K50" t="s">
        <v>115</v>
      </c>
      <c r="M50">
        <v>44</v>
      </c>
      <c r="N50" t="s">
        <v>31</v>
      </c>
      <c r="O50">
        <v>56628</v>
      </c>
      <c r="P50" t="s">
        <v>32</v>
      </c>
      <c r="Q50">
        <v>1</v>
      </c>
      <c r="T50" t="s">
        <v>147</v>
      </c>
      <c r="U50">
        <v>1287</v>
      </c>
      <c r="V50">
        <v>1531.53</v>
      </c>
    </row>
    <row r="51" spans="1:22" x14ac:dyDescent="0.25">
      <c r="A51">
        <v>1000567287</v>
      </c>
      <c r="B51" t="s">
        <v>106</v>
      </c>
      <c r="C51" t="s">
        <v>148</v>
      </c>
      <c r="D51" t="s">
        <v>23</v>
      </c>
      <c r="E51" t="s">
        <v>149</v>
      </c>
      <c r="F51" t="s">
        <v>25</v>
      </c>
      <c r="H51" t="s">
        <v>122</v>
      </c>
      <c r="I51" t="s">
        <v>123</v>
      </c>
      <c r="J51" t="s">
        <v>124</v>
      </c>
      <c r="K51" t="s">
        <v>123</v>
      </c>
      <c r="L51" t="s">
        <v>124</v>
      </c>
      <c r="M51">
        <v>512</v>
      </c>
      <c r="N51" t="s">
        <v>31</v>
      </c>
      <c r="O51">
        <v>210944</v>
      </c>
      <c r="P51" t="s">
        <v>32</v>
      </c>
      <c r="Q51">
        <v>1</v>
      </c>
      <c r="T51" t="s">
        <v>150</v>
      </c>
      <c r="U51">
        <v>412</v>
      </c>
      <c r="V51">
        <v>490.28</v>
      </c>
    </row>
    <row r="52" spans="1:22" x14ac:dyDescent="0.25">
      <c r="A52">
        <v>1000567294</v>
      </c>
      <c r="B52" t="s">
        <v>106</v>
      </c>
      <c r="C52" t="s">
        <v>113</v>
      </c>
      <c r="D52" t="s">
        <v>23</v>
      </c>
      <c r="E52" t="s">
        <v>114</v>
      </c>
      <c r="F52" t="s">
        <v>25</v>
      </c>
      <c r="H52" t="s">
        <v>151</v>
      </c>
      <c r="I52" t="s">
        <v>152</v>
      </c>
      <c r="J52" t="s">
        <v>153</v>
      </c>
      <c r="K52" t="s">
        <v>153</v>
      </c>
      <c r="L52" t="s">
        <v>154</v>
      </c>
      <c r="M52">
        <v>75</v>
      </c>
      <c r="N52" t="s">
        <v>31</v>
      </c>
      <c r="O52">
        <v>34125</v>
      </c>
      <c r="P52" t="s">
        <v>32</v>
      </c>
      <c r="Q52">
        <v>1</v>
      </c>
      <c r="T52" t="s">
        <v>155</v>
      </c>
      <c r="U52">
        <v>455</v>
      </c>
      <c r="V52">
        <v>541.44999999999993</v>
      </c>
    </row>
    <row r="53" spans="1:22" x14ac:dyDescent="0.25">
      <c r="A53">
        <v>1000567306</v>
      </c>
      <c r="B53" t="s">
        <v>106</v>
      </c>
      <c r="C53" t="s">
        <v>110</v>
      </c>
      <c r="D53" t="s">
        <v>23</v>
      </c>
      <c r="E53" t="s">
        <v>111</v>
      </c>
      <c r="F53" t="s">
        <v>25</v>
      </c>
      <c r="H53" t="s">
        <v>122</v>
      </c>
      <c r="I53" t="s">
        <v>123</v>
      </c>
      <c r="J53" t="s">
        <v>124</v>
      </c>
      <c r="K53" t="s">
        <v>123</v>
      </c>
      <c r="L53" t="s">
        <v>124</v>
      </c>
      <c r="M53">
        <v>512</v>
      </c>
      <c r="N53" t="s">
        <v>31</v>
      </c>
      <c r="O53">
        <v>1536</v>
      </c>
      <c r="P53" t="s">
        <v>32</v>
      </c>
      <c r="Q53">
        <v>1</v>
      </c>
      <c r="T53" t="s">
        <v>156</v>
      </c>
      <c r="U53">
        <v>3</v>
      </c>
      <c r="V53">
        <v>3.57</v>
      </c>
    </row>
    <row r="54" spans="1:22" x14ac:dyDescent="0.25">
      <c r="A54">
        <v>1000567310</v>
      </c>
      <c r="B54" t="s">
        <v>106</v>
      </c>
      <c r="C54" t="s">
        <v>157</v>
      </c>
      <c r="D54" t="s">
        <v>23</v>
      </c>
      <c r="E54" t="s">
        <v>158</v>
      </c>
      <c r="F54" t="s">
        <v>25</v>
      </c>
      <c r="H54" t="s">
        <v>46</v>
      </c>
      <c r="I54" t="s">
        <v>47</v>
      </c>
      <c r="J54" t="s">
        <v>76</v>
      </c>
      <c r="K54" t="s">
        <v>47</v>
      </c>
      <c r="L54" t="s">
        <v>76</v>
      </c>
      <c r="M54">
        <v>56</v>
      </c>
      <c r="N54" t="s">
        <v>31</v>
      </c>
      <c r="O54">
        <v>2800</v>
      </c>
      <c r="P54" t="s">
        <v>32</v>
      </c>
      <c r="Q54">
        <v>1</v>
      </c>
      <c r="T54" t="s">
        <v>159</v>
      </c>
      <c r="U54">
        <v>50</v>
      </c>
      <c r="V54">
        <v>59.5</v>
      </c>
    </row>
    <row r="55" spans="1:22" x14ac:dyDescent="0.25">
      <c r="A55">
        <v>1000567311</v>
      </c>
      <c r="B55" t="s">
        <v>106</v>
      </c>
      <c r="C55" t="s">
        <v>160</v>
      </c>
      <c r="D55" t="s">
        <v>23</v>
      </c>
      <c r="E55" t="s">
        <v>161</v>
      </c>
      <c r="F55" t="s">
        <v>25</v>
      </c>
      <c r="H55" t="s">
        <v>151</v>
      </c>
      <c r="I55" t="s">
        <v>152</v>
      </c>
      <c r="J55" t="s">
        <v>153</v>
      </c>
      <c r="K55" t="s">
        <v>152</v>
      </c>
      <c r="L55" t="s">
        <v>153</v>
      </c>
      <c r="M55">
        <v>75</v>
      </c>
      <c r="N55" t="s">
        <v>31</v>
      </c>
      <c r="O55">
        <v>1800</v>
      </c>
      <c r="P55" t="s">
        <v>32</v>
      </c>
      <c r="Q55">
        <v>1</v>
      </c>
      <c r="T55" t="s">
        <v>162</v>
      </c>
      <c r="U55">
        <v>24</v>
      </c>
      <c r="V55">
        <v>28.56</v>
      </c>
    </row>
    <row r="56" spans="1:22" x14ac:dyDescent="0.25">
      <c r="A56">
        <v>1000567313</v>
      </c>
      <c r="B56" t="s">
        <v>106</v>
      </c>
      <c r="C56" t="s">
        <v>157</v>
      </c>
      <c r="D56" t="s">
        <v>23</v>
      </c>
      <c r="E56" t="s">
        <v>158</v>
      </c>
      <c r="F56" t="s">
        <v>25</v>
      </c>
      <c r="H56" t="s">
        <v>122</v>
      </c>
      <c r="I56" t="s">
        <v>123</v>
      </c>
      <c r="J56" t="s">
        <v>124</v>
      </c>
      <c r="K56" t="s">
        <v>123</v>
      </c>
      <c r="L56" t="s">
        <v>124</v>
      </c>
      <c r="M56">
        <v>512</v>
      </c>
      <c r="N56" t="s">
        <v>31</v>
      </c>
      <c r="O56">
        <v>25600</v>
      </c>
      <c r="P56" t="s">
        <v>32</v>
      </c>
      <c r="Q56">
        <v>1</v>
      </c>
      <c r="T56" t="s">
        <v>163</v>
      </c>
      <c r="U56">
        <v>50</v>
      </c>
      <c r="V56">
        <v>59.5</v>
      </c>
    </row>
    <row r="57" spans="1:22" x14ac:dyDescent="0.25">
      <c r="A57">
        <v>1000567318</v>
      </c>
      <c r="B57" t="s">
        <v>106</v>
      </c>
      <c r="C57" t="s">
        <v>110</v>
      </c>
      <c r="D57" t="s">
        <v>23</v>
      </c>
      <c r="E57" t="s">
        <v>111</v>
      </c>
      <c r="F57" t="s">
        <v>25</v>
      </c>
      <c r="H57" t="s">
        <v>46</v>
      </c>
      <c r="I57" t="s">
        <v>47</v>
      </c>
      <c r="J57" t="s">
        <v>76</v>
      </c>
      <c r="K57" t="s">
        <v>47</v>
      </c>
      <c r="L57" t="s">
        <v>76</v>
      </c>
      <c r="M57">
        <v>56</v>
      </c>
      <c r="N57" t="s">
        <v>31</v>
      </c>
      <c r="O57">
        <v>280</v>
      </c>
      <c r="P57" t="s">
        <v>32</v>
      </c>
      <c r="Q57">
        <v>1</v>
      </c>
      <c r="T57" t="s">
        <v>164</v>
      </c>
      <c r="U57">
        <v>5</v>
      </c>
      <c r="V57">
        <v>5.9499999999999993</v>
      </c>
    </row>
    <row r="58" spans="1:22" x14ac:dyDescent="0.25">
      <c r="A58">
        <v>1000567320</v>
      </c>
      <c r="B58" t="s">
        <v>106</v>
      </c>
      <c r="C58" t="s">
        <v>138</v>
      </c>
      <c r="D58" t="s">
        <v>23</v>
      </c>
      <c r="E58" t="s">
        <v>139</v>
      </c>
      <c r="F58" t="s">
        <v>25</v>
      </c>
      <c r="H58" t="s">
        <v>46</v>
      </c>
      <c r="I58" t="s">
        <v>47</v>
      </c>
      <c r="J58" t="s">
        <v>76</v>
      </c>
      <c r="K58" t="s">
        <v>47</v>
      </c>
      <c r="L58" t="s">
        <v>76</v>
      </c>
      <c r="M58">
        <v>56</v>
      </c>
      <c r="N58" t="s">
        <v>31</v>
      </c>
      <c r="O58">
        <v>81536</v>
      </c>
      <c r="P58" t="s">
        <v>32</v>
      </c>
      <c r="Q58">
        <v>1</v>
      </c>
      <c r="T58" t="s">
        <v>165</v>
      </c>
      <c r="U58">
        <v>1456</v>
      </c>
      <c r="V58">
        <v>1732.64</v>
      </c>
    </row>
    <row r="59" spans="1:22" x14ac:dyDescent="0.25">
      <c r="A59">
        <v>1000567323</v>
      </c>
      <c r="B59" t="s">
        <v>106</v>
      </c>
      <c r="C59" t="s">
        <v>166</v>
      </c>
      <c r="D59" t="s">
        <v>23</v>
      </c>
      <c r="E59" t="s">
        <v>167</v>
      </c>
      <c r="F59" t="s">
        <v>25</v>
      </c>
      <c r="H59" t="s">
        <v>151</v>
      </c>
      <c r="I59" t="s">
        <v>152</v>
      </c>
      <c r="J59" t="s">
        <v>153</v>
      </c>
      <c r="K59" t="s">
        <v>152</v>
      </c>
      <c r="L59" t="s">
        <v>153</v>
      </c>
      <c r="M59">
        <v>75</v>
      </c>
      <c r="N59" t="s">
        <v>31</v>
      </c>
      <c r="O59">
        <v>58050</v>
      </c>
      <c r="P59" t="s">
        <v>32</v>
      </c>
      <c r="Q59">
        <v>1</v>
      </c>
      <c r="T59" t="s">
        <v>168</v>
      </c>
      <c r="U59">
        <v>774</v>
      </c>
      <c r="V59">
        <v>921.06</v>
      </c>
    </row>
    <row r="60" spans="1:22" x14ac:dyDescent="0.25">
      <c r="A60">
        <v>1000567324</v>
      </c>
      <c r="B60" t="s">
        <v>106</v>
      </c>
      <c r="C60" t="s">
        <v>169</v>
      </c>
      <c r="D60" t="s">
        <v>23</v>
      </c>
      <c r="E60" t="s">
        <v>170</v>
      </c>
      <c r="F60" t="s">
        <v>25</v>
      </c>
      <c r="H60" t="s">
        <v>151</v>
      </c>
      <c r="I60" t="s">
        <v>152</v>
      </c>
      <c r="J60" t="s">
        <v>153</v>
      </c>
      <c r="K60" t="s">
        <v>152</v>
      </c>
      <c r="L60" t="s">
        <v>153</v>
      </c>
      <c r="M60">
        <v>75</v>
      </c>
      <c r="N60" t="s">
        <v>31</v>
      </c>
      <c r="O60">
        <v>96750</v>
      </c>
      <c r="P60" t="s">
        <v>32</v>
      </c>
      <c r="Q60">
        <v>1</v>
      </c>
      <c r="T60" t="s">
        <v>171</v>
      </c>
      <c r="U60">
        <v>1290</v>
      </c>
      <c r="V60">
        <v>1535.1</v>
      </c>
    </row>
    <row r="61" spans="1:22" x14ac:dyDescent="0.25">
      <c r="A61">
        <v>1000567325</v>
      </c>
      <c r="B61" t="s">
        <v>106</v>
      </c>
      <c r="C61" t="s">
        <v>141</v>
      </c>
      <c r="D61" t="s">
        <v>23</v>
      </c>
      <c r="E61" t="s">
        <v>142</v>
      </c>
      <c r="F61" t="s">
        <v>25</v>
      </c>
      <c r="H61" t="s">
        <v>122</v>
      </c>
      <c r="I61" t="s">
        <v>123</v>
      </c>
      <c r="J61" t="s">
        <v>124</v>
      </c>
      <c r="K61" t="s">
        <v>123</v>
      </c>
      <c r="L61" t="s">
        <v>124</v>
      </c>
      <c r="M61">
        <v>512</v>
      </c>
      <c r="N61" t="s">
        <v>31</v>
      </c>
      <c r="O61">
        <v>163840</v>
      </c>
      <c r="P61" t="s">
        <v>32</v>
      </c>
      <c r="Q61">
        <v>1</v>
      </c>
      <c r="T61" t="s">
        <v>172</v>
      </c>
      <c r="U61">
        <v>320</v>
      </c>
      <c r="V61">
        <v>380.8</v>
      </c>
    </row>
    <row r="62" spans="1:22" x14ac:dyDescent="0.25">
      <c r="A62">
        <v>1000567326</v>
      </c>
      <c r="B62" t="s">
        <v>106</v>
      </c>
      <c r="C62" t="s">
        <v>148</v>
      </c>
      <c r="D62" t="s">
        <v>23</v>
      </c>
      <c r="E62" t="s">
        <v>149</v>
      </c>
      <c r="F62" t="s">
        <v>25</v>
      </c>
      <c r="H62" t="s">
        <v>151</v>
      </c>
      <c r="I62" t="s">
        <v>152</v>
      </c>
      <c r="J62" t="s">
        <v>153</v>
      </c>
      <c r="K62" t="s">
        <v>152</v>
      </c>
      <c r="L62" t="s">
        <v>153</v>
      </c>
      <c r="M62">
        <v>75</v>
      </c>
      <c r="N62" t="s">
        <v>31</v>
      </c>
      <c r="O62">
        <v>30900</v>
      </c>
      <c r="P62" t="s">
        <v>32</v>
      </c>
      <c r="Q62">
        <v>1</v>
      </c>
      <c r="T62" t="s">
        <v>173</v>
      </c>
      <c r="U62">
        <v>412</v>
      </c>
      <c r="V62">
        <v>490.28</v>
      </c>
    </row>
    <row r="63" spans="1:22" x14ac:dyDescent="0.25">
      <c r="A63">
        <v>1000567332</v>
      </c>
      <c r="B63" t="s">
        <v>106</v>
      </c>
      <c r="C63" t="s">
        <v>135</v>
      </c>
      <c r="D63" t="s">
        <v>23</v>
      </c>
      <c r="E63" t="s">
        <v>136</v>
      </c>
      <c r="F63" t="s">
        <v>25</v>
      </c>
      <c r="H63" t="s">
        <v>122</v>
      </c>
      <c r="I63" t="s">
        <v>123</v>
      </c>
      <c r="J63" t="s">
        <v>124</v>
      </c>
      <c r="K63" t="s">
        <v>123</v>
      </c>
      <c r="L63" t="s">
        <v>124</v>
      </c>
      <c r="M63">
        <v>124</v>
      </c>
      <c r="N63" t="s">
        <v>31</v>
      </c>
      <c r="O63">
        <v>13392</v>
      </c>
      <c r="P63" t="s">
        <v>32</v>
      </c>
      <c r="Q63">
        <v>1</v>
      </c>
      <c r="T63" t="s">
        <v>174</v>
      </c>
      <c r="U63">
        <v>108</v>
      </c>
      <c r="V63">
        <v>128.52000000000001</v>
      </c>
    </row>
    <row r="64" spans="1:22" x14ac:dyDescent="0.25">
      <c r="A64">
        <v>1000567334</v>
      </c>
      <c r="B64" t="s">
        <v>106</v>
      </c>
      <c r="C64" t="s">
        <v>138</v>
      </c>
      <c r="D64" t="s">
        <v>23</v>
      </c>
      <c r="E64" t="s">
        <v>139</v>
      </c>
      <c r="F64" t="s">
        <v>25</v>
      </c>
      <c r="H64" t="s">
        <v>151</v>
      </c>
      <c r="I64" t="s">
        <v>152</v>
      </c>
      <c r="J64" t="s">
        <v>153</v>
      </c>
      <c r="K64" t="s">
        <v>152</v>
      </c>
      <c r="L64" t="s">
        <v>153</v>
      </c>
      <c r="M64">
        <v>75</v>
      </c>
      <c r="N64" t="s">
        <v>31</v>
      </c>
      <c r="O64">
        <v>96525</v>
      </c>
      <c r="P64" t="s">
        <v>32</v>
      </c>
      <c r="Q64">
        <v>1</v>
      </c>
      <c r="T64" t="s">
        <v>175</v>
      </c>
      <c r="U64">
        <v>1287</v>
      </c>
      <c r="V64">
        <v>1531.53</v>
      </c>
    </row>
    <row r="65" spans="1:22" x14ac:dyDescent="0.25">
      <c r="A65">
        <v>1000567335</v>
      </c>
      <c r="B65" t="s">
        <v>106</v>
      </c>
      <c r="C65" t="s">
        <v>176</v>
      </c>
      <c r="D65" t="s">
        <v>23</v>
      </c>
      <c r="E65" t="s">
        <v>177</v>
      </c>
      <c r="F65" t="s">
        <v>25</v>
      </c>
      <c r="H65" t="s">
        <v>122</v>
      </c>
      <c r="I65" t="s">
        <v>123</v>
      </c>
      <c r="J65" t="s">
        <v>124</v>
      </c>
      <c r="K65" t="s">
        <v>151</v>
      </c>
      <c r="L65" t="s">
        <v>73</v>
      </c>
      <c r="M65">
        <v>512</v>
      </c>
      <c r="N65" t="s">
        <v>31</v>
      </c>
      <c r="O65">
        <v>97280</v>
      </c>
      <c r="P65" t="s">
        <v>32</v>
      </c>
      <c r="Q65">
        <v>1</v>
      </c>
      <c r="T65" t="s">
        <v>178</v>
      </c>
      <c r="U65">
        <v>190</v>
      </c>
      <c r="V65">
        <v>226.1</v>
      </c>
    </row>
    <row r="66" spans="1:22" x14ac:dyDescent="0.25">
      <c r="A66">
        <v>1000567338</v>
      </c>
      <c r="B66" t="s">
        <v>106</v>
      </c>
      <c r="C66" t="s">
        <v>135</v>
      </c>
      <c r="D66" t="s">
        <v>23</v>
      </c>
      <c r="E66" t="s">
        <v>136</v>
      </c>
      <c r="F66" t="s">
        <v>25</v>
      </c>
      <c r="H66" t="s">
        <v>122</v>
      </c>
      <c r="I66" t="s">
        <v>123</v>
      </c>
      <c r="J66" t="s">
        <v>124</v>
      </c>
      <c r="K66" t="s">
        <v>123</v>
      </c>
      <c r="L66" t="s">
        <v>124</v>
      </c>
      <c r="M66">
        <v>512</v>
      </c>
      <c r="N66" t="s">
        <v>31</v>
      </c>
      <c r="O66">
        <v>48640</v>
      </c>
      <c r="P66" t="s">
        <v>32</v>
      </c>
      <c r="Q66">
        <v>1</v>
      </c>
      <c r="T66" t="s">
        <v>179</v>
      </c>
      <c r="U66">
        <v>95</v>
      </c>
      <c r="V66">
        <v>113.05</v>
      </c>
    </row>
    <row r="67" spans="1:22" x14ac:dyDescent="0.25">
      <c r="A67">
        <v>1000567340</v>
      </c>
      <c r="B67" t="s">
        <v>106</v>
      </c>
      <c r="C67" t="s">
        <v>113</v>
      </c>
      <c r="D67" t="s">
        <v>23</v>
      </c>
      <c r="E67" t="s">
        <v>114</v>
      </c>
      <c r="F67" t="s">
        <v>25</v>
      </c>
      <c r="H67" t="s">
        <v>46</v>
      </c>
      <c r="I67" t="s">
        <v>47</v>
      </c>
      <c r="J67" t="s">
        <v>76</v>
      </c>
      <c r="K67" t="s">
        <v>49</v>
      </c>
      <c r="L67" t="s">
        <v>180</v>
      </c>
      <c r="M67">
        <v>56</v>
      </c>
      <c r="N67" t="s">
        <v>31</v>
      </c>
      <c r="O67">
        <v>25480</v>
      </c>
      <c r="P67" t="s">
        <v>32</v>
      </c>
      <c r="Q67">
        <v>1</v>
      </c>
      <c r="T67" t="s">
        <v>181</v>
      </c>
      <c r="U67">
        <v>455</v>
      </c>
      <c r="V67">
        <v>541.44999999999993</v>
      </c>
    </row>
    <row r="68" spans="1:22" x14ac:dyDescent="0.25">
      <c r="A68">
        <v>1000567342</v>
      </c>
      <c r="B68" t="s">
        <v>106</v>
      </c>
      <c r="C68" t="s">
        <v>148</v>
      </c>
      <c r="D68" t="s">
        <v>23</v>
      </c>
      <c r="E68" t="s">
        <v>149</v>
      </c>
      <c r="F68" t="s">
        <v>25</v>
      </c>
      <c r="H68" t="s">
        <v>46</v>
      </c>
      <c r="I68" t="s">
        <v>47</v>
      </c>
      <c r="J68" t="s">
        <v>76</v>
      </c>
      <c r="K68" t="s">
        <v>47</v>
      </c>
      <c r="L68" t="s">
        <v>76</v>
      </c>
      <c r="M68">
        <v>56</v>
      </c>
      <c r="N68" t="s">
        <v>31</v>
      </c>
      <c r="O68">
        <v>23072</v>
      </c>
      <c r="P68" t="s">
        <v>32</v>
      </c>
      <c r="Q68">
        <v>1</v>
      </c>
      <c r="T68" t="s">
        <v>182</v>
      </c>
      <c r="U68">
        <v>412</v>
      </c>
      <c r="V68">
        <v>490.28</v>
      </c>
    </row>
    <row r="69" spans="1:22" x14ac:dyDescent="0.25">
      <c r="A69">
        <v>1000567349</v>
      </c>
      <c r="B69" t="s">
        <v>106</v>
      </c>
      <c r="C69" t="s">
        <v>148</v>
      </c>
      <c r="D69" t="s">
        <v>23</v>
      </c>
      <c r="E69" t="s">
        <v>149</v>
      </c>
      <c r="F69" t="s">
        <v>25</v>
      </c>
      <c r="H69" t="s">
        <v>151</v>
      </c>
      <c r="I69" t="s">
        <v>152</v>
      </c>
      <c r="J69" t="s">
        <v>153</v>
      </c>
      <c r="K69" t="s">
        <v>152</v>
      </c>
      <c r="L69" t="s">
        <v>153</v>
      </c>
      <c r="M69">
        <v>75</v>
      </c>
      <c r="N69" t="s">
        <v>31</v>
      </c>
      <c r="O69">
        <v>31650</v>
      </c>
      <c r="P69" t="s">
        <v>32</v>
      </c>
      <c r="Q69">
        <v>1</v>
      </c>
      <c r="T69" t="s">
        <v>183</v>
      </c>
      <c r="U69">
        <v>422</v>
      </c>
      <c r="V69">
        <v>502.17999999999989</v>
      </c>
    </row>
    <row r="70" spans="1:22" x14ac:dyDescent="0.25">
      <c r="A70">
        <v>1000567350</v>
      </c>
      <c r="B70" t="s">
        <v>106</v>
      </c>
      <c r="C70" t="s">
        <v>107</v>
      </c>
      <c r="D70" t="s">
        <v>23</v>
      </c>
      <c r="E70" t="s">
        <v>108</v>
      </c>
      <c r="F70" t="s">
        <v>25</v>
      </c>
      <c r="H70" t="s">
        <v>47</v>
      </c>
      <c r="I70" t="s">
        <v>115</v>
      </c>
      <c r="J70" t="s">
        <v>58</v>
      </c>
      <c r="K70" t="s">
        <v>115</v>
      </c>
      <c r="M70">
        <v>44</v>
      </c>
      <c r="N70" t="s">
        <v>31</v>
      </c>
      <c r="O70">
        <v>103356</v>
      </c>
      <c r="P70" t="s">
        <v>32</v>
      </c>
      <c r="Q70">
        <v>1</v>
      </c>
      <c r="T70" t="s">
        <v>184</v>
      </c>
      <c r="U70">
        <v>2349</v>
      </c>
      <c r="V70">
        <v>2795.31</v>
      </c>
    </row>
    <row r="71" spans="1:22" x14ac:dyDescent="0.25">
      <c r="A71">
        <v>1000567353</v>
      </c>
      <c r="B71" t="s">
        <v>106</v>
      </c>
      <c r="C71" t="s">
        <v>148</v>
      </c>
      <c r="D71" t="s">
        <v>23</v>
      </c>
      <c r="E71" t="s">
        <v>149</v>
      </c>
      <c r="F71" t="s">
        <v>25</v>
      </c>
      <c r="H71" t="s">
        <v>47</v>
      </c>
      <c r="I71" t="s">
        <v>115</v>
      </c>
      <c r="J71" t="s">
        <v>58</v>
      </c>
      <c r="K71" t="s">
        <v>115</v>
      </c>
      <c r="M71">
        <v>44</v>
      </c>
      <c r="N71" t="s">
        <v>31</v>
      </c>
      <c r="O71">
        <v>18568</v>
      </c>
      <c r="P71" t="s">
        <v>32</v>
      </c>
      <c r="Q71">
        <v>1</v>
      </c>
      <c r="T71" t="s">
        <v>185</v>
      </c>
      <c r="U71">
        <v>422</v>
      </c>
      <c r="V71">
        <v>502.17999999999989</v>
      </c>
    </row>
    <row r="72" spans="1:22" x14ac:dyDescent="0.25">
      <c r="A72">
        <v>1000567356</v>
      </c>
      <c r="B72" t="s">
        <v>106</v>
      </c>
      <c r="C72" t="s">
        <v>186</v>
      </c>
      <c r="D72" t="s">
        <v>23</v>
      </c>
      <c r="E72" t="s">
        <v>187</v>
      </c>
      <c r="F72" t="s">
        <v>25</v>
      </c>
      <c r="H72" t="s">
        <v>46</v>
      </c>
      <c r="I72" t="s">
        <v>47</v>
      </c>
      <c r="J72" t="s">
        <v>76</v>
      </c>
      <c r="K72" t="s">
        <v>47</v>
      </c>
      <c r="L72" t="s">
        <v>76</v>
      </c>
      <c r="M72">
        <v>56</v>
      </c>
      <c r="N72" t="s">
        <v>31</v>
      </c>
      <c r="O72">
        <v>6832</v>
      </c>
      <c r="P72" t="s">
        <v>32</v>
      </c>
      <c r="Q72">
        <v>1</v>
      </c>
      <c r="T72" t="s">
        <v>188</v>
      </c>
      <c r="U72">
        <v>122</v>
      </c>
      <c r="V72">
        <v>145.18</v>
      </c>
    </row>
    <row r="73" spans="1:22" x14ac:dyDescent="0.25">
      <c r="A73">
        <v>1000567363</v>
      </c>
      <c r="B73" t="s">
        <v>106</v>
      </c>
      <c r="C73" t="s">
        <v>176</v>
      </c>
      <c r="D73" t="s">
        <v>23</v>
      </c>
      <c r="E73" t="s">
        <v>177</v>
      </c>
      <c r="F73" t="s">
        <v>25</v>
      </c>
      <c r="H73" t="s">
        <v>47</v>
      </c>
      <c r="I73" t="s">
        <v>115</v>
      </c>
      <c r="J73" t="s">
        <v>58</v>
      </c>
      <c r="K73" t="s">
        <v>115</v>
      </c>
      <c r="M73">
        <v>44</v>
      </c>
      <c r="N73" t="s">
        <v>31</v>
      </c>
      <c r="O73">
        <v>8932</v>
      </c>
      <c r="P73" t="s">
        <v>32</v>
      </c>
      <c r="Q73">
        <v>1</v>
      </c>
      <c r="T73" t="s">
        <v>189</v>
      </c>
      <c r="U73">
        <v>203</v>
      </c>
      <c r="V73">
        <v>241.57</v>
      </c>
    </row>
    <row r="74" spans="1:22" x14ac:dyDescent="0.25">
      <c r="A74">
        <v>1000567365</v>
      </c>
      <c r="B74" t="s">
        <v>106</v>
      </c>
      <c r="C74" t="s">
        <v>157</v>
      </c>
      <c r="D74" t="s">
        <v>23</v>
      </c>
      <c r="E74" t="s">
        <v>158</v>
      </c>
      <c r="F74" t="s">
        <v>25</v>
      </c>
      <c r="H74" t="s">
        <v>151</v>
      </c>
      <c r="I74" t="s">
        <v>152</v>
      </c>
      <c r="J74" t="s">
        <v>153</v>
      </c>
      <c r="K74" t="s">
        <v>152</v>
      </c>
      <c r="L74" t="s">
        <v>153</v>
      </c>
      <c r="M74">
        <v>75</v>
      </c>
      <c r="N74" t="s">
        <v>31</v>
      </c>
      <c r="O74">
        <v>3750</v>
      </c>
      <c r="P74" t="s">
        <v>32</v>
      </c>
      <c r="Q74">
        <v>1</v>
      </c>
      <c r="T74" t="s">
        <v>190</v>
      </c>
      <c r="U74">
        <v>50</v>
      </c>
      <c r="V74">
        <v>59.5</v>
      </c>
    </row>
    <row r="75" spans="1:22" x14ac:dyDescent="0.25">
      <c r="A75">
        <v>1000567367</v>
      </c>
      <c r="B75" t="s">
        <v>106</v>
      </c>
      <c r="C75" t="s">
        <v>110</v>
      </c>
      <c r="D75" t="s">
        <v>23</v>
      </c>
      <c r="E75" t="s">
        <v>111</v>
      </c>
      <c r="F75" t="s">
        <v>25</v>
      </c>
      <c r="H75" t="s">
        <v>151</v>
      </c>
      <c r="I75" t="s">
        <v>152</v>
      </c>
      <c r="J75" t="s">
        <v>153</v>
      </c>
      <c r="K75" t="s">
        <v>152</v>
      </c>
      <c r="L75" t="s">
        <v>153</v>
      </c>
      <c r="M75">
        <v>75</v>
      </c>
      <c r="N75" t="s">
        <v>31</v>
      </c>
      <c r="O75">
        <v>375</v>
      </c>
      <c r="P75" t="s">
        <v>32</v>
      </c>
      <c r="Q75">
        <v>1</v>
      </c>
      <c r="T75" t="s">
        <v>191</v>
      </c>
      <c r="U75">
        <v>5</v>
      </c>
      <c r="V75">
        <v>5.9499999999999993</v>
      </c>
    </row>
    <row r="76" spans="1:22" x14ac:dyDescent="0.25">
      <c r="A76">
        <v>1000567369</v>
      </c>
      <c r="B76" t="s">
        <v>106</v>
      </c>
      <c r="C76" t="s">
        <v>107</v>
      </c>
      <c r="D76" t="s">
        <v>23</v>
      </c>
      <c r="E76" t="s">
        <v>108</v>
      </c>
      <c r="F76" t="s">
        <v>25</v>
      </c>
      <c r="H76" t="s">
        <v>151</v>
      </c>
      <c r="I76" t="s">
        <v>152</v>
      </c>
      <c r="J76" t="s">
        <v>153</v>
      </c>
      <c r="K76" t="s">
        <v>152</v>
      </c>
      <c r="L76" t="s">
        <v>153</v>
      </c>
      <c r="M76">
        <v>75</v>
      </c>
      <c r="N76" t="s">
        <v>31</v>
      </c>
      <c r="O76">
        <v>176175</v>
      </c>
      <c r="P76" t="s">
        <v>32</v>
      </c>
      <c r="Q76">
        <v>1</v>
      </c>
      <c r="T76" t="s">
        <v>192</v>
      </c>
      <c r="U76">
        <v>2349</v>
      </c>
      <c r="V76">
        <v>2795.31</v>
      </c>
    </row>
    <row r="77" spans="1:22" x14ac:dyDescent="0.25">
      <c r="A77">
        <v>1000567370</v>
      </c>
      <c r="B77" t="s">
        <v>106</v>
      </c>
      <c r="C77" t="s">
        <v>135</v>
      </c>
      <c r="D77" t="s">
        <v>23</v>
      </c>
      <c r="E77" t="s">
        <v>136</v>
      </c>
      <c r="F77" t="s">
        <v>25</v>
      </c>
      <c r="H77" t="s">
        <v>46</v>
      </c>
      <c r="I77" t="s">
        <v>47</v>
      </c>
      <c r="J77" t="s">
        <v>76</v>
      </c>
      <c r="K77" t="s">
        <v>47</v>
      </c>
      <c r="L77" t="s">
        <v>76</v>
      </c>
      <c r="M77">
        <v>56</v>
      </c>
      <c r="N77" t="s">
        <v>31</v>
      </c>
      <c r="O77">
        <v>5320</v>
      </c>
      <c r="P77" t="s">
        <v>32</v>
      </c>
      <c r="Q77">
        <v>1</v>
      </c>
      <c r="T77" t="s">
        <v>193</v>
      </c>
      <c r="U77">
        <v>95</v>
      </c>
      <c r="V77">
        <v>113.05</v>
      </c>
    </row>
    <row r="78" spans="1:22" x14ac:dyDescent="0.25">
      <c r="A78">
        <v>1000567371</v>
      </c>
      <c r="B78" t="s">
        <v>106</v>
      </c>
      <c r="C78" t="s">
        <v>148</v>
      </c>
      <c r="D78" t="s">
        <v>23</v>
      </c>
      <c r="E78" t="s">
        <v>149</v>
      </c>
      <c r="F78" t="s">
        <v>25</v>
      </c>
      <c r="H78" t="s">
        <v>122</v>
      </c>
      <c r="I78" t="s">
        <v>123</v>
      </c>
      <c r="J78" t="s">
        <v>124</v>
      </c>
      <c r="K78" t="s">
        <v>123</v>
      </c>
      <c r="L78" t="s">
        <v>124</v>
      </c>
      <c r="M78">
        <v>124</v>
      </c>
      <c r="N78" t="s">
        <v>31</v>
      </c>
      <c r="O78">
        <v>52328</v>
      </c>
      <c r="P78" t="s">
        <v>32</v>
      </c>
      <c r="Q78">
        <v>1</v>
      </c>
      <c r="T78" t="s">
        <v>194</v>
      </c>
      <c r="U78">
        <v>422</v>
      </c>
      <c r="V78">
        <v>502.17999999999989</v>
      </c>
    </row>
    <row r="79" spans="1:22" x14ac:dyDescent="0.25">
      <c r="A79">
        <v>1000567382</v>
      </c>
      <c r="B79" t="s">
        <v>106</v>
      </c>
      <c r="C79" t="s">
        <v>176</v>
      </c>
      <c r="D79" t="s">
        <v>23</v>
      </c>
      <c r="E79" t="s">
        <v>177</v>
      </c>
      <c r="F79" t="s">
        <v>25</v>
      </c>
      <c r="H79" t="s">
        <v>151</v>
      </c>
      <c r="I79" t="s">
        <v>152</v>
      </c>
      <c r="J79" t="s">
        <v>153</v>
      </c>
      <c r="K79" t="s">
        <v>152</v>
      </c>
      <c r="L79" t="s">
        <v>153</v>
      </c>
      <c r="M79">
        <v>75</v>
      </c>
      <c r="N79" t="s">
        <v>31</v>
      </c>
      <c r="O79">
        <v>15225</v>
      </c>
      <c r="P79" t="s">
        <v>32</v>
      </c>
      <c r="Q79">
        <v>1</v>
      </c>
      <c r="T79" t="s">
        <v>195</v>
      </c>
      <c r="U79">
        <v>203</v>
      </c>
      <c r="V79">
        <v>241.57</v>
      </c>
    </row>
    <row r="80" spans="1:22" x14ac:dyDescent="0.25">
      <c r="A80">
        <v>1000567388</v>
      </c>
      <c r="B80" t="s">
        <v>106</v>
      </c>
      <c r="C80" t="s">
        <v>196</v>
      </c>
      <c r="D80" t="s">
        <v>23</v>
      </c>
      <c r="E80" t="s">
        <v>197</v>
      </c>
      <c r="F80" t="s">
        <v>25</v>
      </c>
      <c r="H80" t="s">
        <v>122</v>
      </c>
      <c r="I80" t="s">
        <v>123</v>
      </c>
      <c r="J80" t="s">
        <v>124</v>
      </c>
      <c r="K80" t="s">
        <v>123</v>
      </c>
      <c r="L80" t="s">
        <v>124</v>
      </c>
      <c r="M80">
        <v>512</v>
      </c>
      <c r="N80" t="s">
        <v>31</v>
      </c>
      <c r="O80">
        <v>528384</v>
      </c>
      <c r="P80" t="s">
        <v>32</v>
      </c>
      <c r="Q80">
        <v>1</v>
      </c>
      <c r="T80" t="s">
        <v>198</v>
      </c>
      <c r="U80">
        <v>1032</v>
      </c>
      <c r="V80">
        <v>1228.08</v>
      </c>
    </row>
    <row r="81" spans="1:22" x14ac:dyDescent="0.25">
      <c r="A81">
        <v>1000567391</v>
      </c>
      <c r="B81" t="s">
        <v>106</v>
      </c>
      <c r="C81" t="s">
        <v>176</v>
      </c>
      <c r="D81" t="s">
        <v>23</v>
      </c>
      <c r="E81" t="s">
        <v>177</v>
      </c>
      <c r="F81" t="s">
        <v>25</v>
      </c>
      <c r="H81" t="s">
        <v>46</v>
      </c>
      <c r="I81" t="s">
        <v>47</v>
      </c>
      <c r="J81" t="s">
        <v>76</v>
      </c>
      <c r="K81" t="s">
        <v>47</v>
      </c>
      <c r="L81" t="s">
        <v>199</v>
      </c>
      <c r="M81">
        <v>56</v>
      </c>
      <c r="N81" t="s">
        <v>31</v>
      </c>
      <c r="O81">
        <v>10640</v>
      </c>
      <c r="P81" t="s">
        <v>32</v>
      </c>
      <c r="Q81">
        <v>1</v>
      </c>
      <c r="T81" t="s">
        <v>200</v>
      </c>
      <c r="U81">
        <v>190</v>
      </c>
      <c r="V81">
        <v>226.1</v>
      </c>
    </row>
    <row r="82" spans="1:22" x14ac:dyDescent="0.25">
      <c r="A82">
        <v>1000567394</v>
      </c>
      <c r="B82" t="s">
        <v>106</v>
      </c>
      <c r="C82" t="s">
        <v>117</v>
      </c>
      <c r="D82" t="s">
        <v>23</v>
      </c>
      <c r="E82" t="s">
        <v>118</v>
      </c>
      <c r="F82" t="s">
        <v>25</v>
      </c>
      <c r="H82" t="s">
        <v>151</v>
      </c>
      <c r="I82" t="s">
        <v>152</v>
      </c>
      <c r="J82" t="s">
        <v>153</v>
      </c>
      <c r="K82" t="s">
        <v>152</v>
      </c>
      <c r="L82" t="s">
        <v>153</v>
      </c>
      <c r="M82">
        <v>75</v>
      </c>
      <c r="N82" t="s">
        <v>31</v>
      </c>
      <c r="O82">
        <v>1425</v>
      </c>
      <c r="P82" t="s">
        <v>32</v>
      </c>
      <c r="Q82">
        <v>1</v>
      </c>
      <c r="T82" t="s">
        <v>201</v>
      </c>
      <c r="U82">
        <v>19</v>
      </c>
      <c r="V82">
        <v>22.61</v>
      </c>
    </row>
    <row r="83" spans="1:22" x14ac:dyDescent="0.25">
      <c r="A83">
        <v>1000567402</v>
      </c>
      <c r="B83" t="s">
        <v>106</v>
      </c>
      <c r="C83" t="s">
        <v>113</v>
      </c>
      <c r="D83" t="s">
        <v>23</v>
      </c>
      <c r="E83" t="s">
        <v>114</v>
      </c>
      <c r="F83" t="s">
        <v>25</v>
      </c>
      <c r="H83" t="s">
        <v>122</v>
      </c>
      <c r="I83" t="s">
        <v>123</v>
      </c>
      <c r="J83" t="s">
        <v>124</v>
      </c>
      <c r="K83" t="s">
        <v>123</v>
      </c>
      <c r="L83" t="s">
        <v>124</v>
      </c>
      <c r="M83">
        <v>512</v>
      </c>
      <c r="N83" t="s">
        <v>31</v>
      </c>
      <c r="O83">
        <v>232960</v>
      </c>
      <c r="P83" t="s">
        <v>32</v>
      </c>
      <c r="Q83">
        <v>1</v>
      </c>
      <c r="T83" t="s">
        <v>202</v>
      </c>
      <c r="U83">
        <v>455</v>
      </c>
      <c r="V83">
        <v>541.44999999999993</v>
      </c>
    </row>
    <row r="84" spans="1:22" x14ac:dyDescent="0.25">
      <c r="A84">
        <v>1000567403</v>
      </c>
      <c r="B84" t="s">
        <v>106</v>
      </c>
      <c r="C84" t="s">
        <v>148</v>
      </c>
      <c r="D84" t="s">
        <v>23</v>
      </c>
      <c r="E84" t="s">
        <v>149</v>
      </c>
      <c r="F84" t="s">
        <v>25</v>
      </c>
      <c r="H84" t="s">
        <v>47</v>
      </c>
      <c r="I84" t="s">
        <v>115</v>
      </c>
      <c r="J84" t="s">
        <v>58</v>
      </c>
      <c r="K84" t="s">
        <v>115</v>
      </c>
      <c r="M84">
        <v>44</v>
      </c>
      <c r="N84" t="s">
        <v>31</v>
      </c>
      <c r="O84">
        <v>18128</v>
      </c>
      <c r="P84" t="s">
        <v>32</v>
      </c>
      <c r="Q84">
        <v>1</v>
      </c>
      <c r="T84" t="s">
        <v>203</v>
      </c>
      <c r="U84">
        <v>412</v>
      </c>
      <c r="V84">
        <v>490.28</v>
      </c>
    </row>
    <row r="85" spans="1:22" x14ac:dyDescent="0.25">
      <c r="A85">
        <v>1000567407</v>
      </c>
      <c r="B85" t="s">
        <v>106</v>
      </c>
      <c r="C85" t="s">
        <v>186</v>
      </c>
      <c r="D85" t="s">
        <v>23</v>
      </c>
      <c r="E85" t="s">
        <v>187</v>
      </c>
      <c r="F85" t="s">
        <v>25</v>
      </c>
      <c r="H85" t="s">
        <v>122</v>
      </c>
      <c r="I85" t="s">
        <v>123</v>
      </c>
      <c r="J85" t="s">
        <v>124</v>
      </c>
      <c r="K85" t="s">
        <v>123</v>
      </c>
      <c r="L85" t="s">
        <v>124</v>
      </c>
      <c r="M85">
        <v>512</v>
      </c>
      <c r="N85" t="s">
        <v>31</v>
      </c>
      <c r="O85">
        <v>62464</v>
      </c>
      <c r="P85" t="s">
        <v>32</v>
      </c>
      <c r="Q85">
        <v>1</v>
      </c>
      <c r="T85" t="s">
        <v>204</v>
      </c>
      <c r="U85">
        <v>122</v>
      </c>
      <c r="V85">
        <v>145.18</v>
      </c>
    </row>
    <row r="86" spans="1:22" x14ac:dyDescent="0.25">
      <c r="A86">
        <v>1000567409</v>
      </c>
      <c r="B86" t="s">
        <v>106</v>
      </c>
      <c r="C86" t="s">
        <v>196</v>
      </c>
      <c r="D86" t="s">
        <v>23</v>
      </c>
      <c r="E86" t="s">
        <v>197</v>
      </c>
      <c r="F86" t="s">
        <v>25</v>
      </c>
      <c r="H86" t="s">
        <v>46</v>
      </c>
      <c r="I86" t="s">
        <v>47</v>
      </c>
      <c r="J86" t="s">
        <v>76</v>
      </c>
      <c r="K86" t="s">
        <v>47</v>
      </c>
      <c r="L86" t="s">
        <v>76</v>
      </c>
      <c r="M86">
        <v>56</v>
      </c>
      <c r="N86" t="s">
        <v>31</v>
      </c>
      <c r="O86">
        <v>57792</v>
      </c>
      <c r="P86" t="s">
        <v>32</v>
      </c>
      <c r="Q86">
        <v>1</v>
      </c>
      <c r="T86" t="s">
        <v>205</v>
      </c>
      <c r="U86">
        <v>1032</v>
      </c>
      <c r="V86">
        <v>1228.08</v>
      </c>
    </row>
    <row r="87" spans="1:22" x14ac:dyDescent="0.25">
      <c r="A87">
        <v>1000567411</v>
      </c>
      <c r="B87" t="s">
        <v>106</v>
      </c>
      <c r="C87" t="s">
        <v>110</v>
      </c>
      <c r="D87" t="s">
        <v>23</v>
      </c>
      <c r="E87" t="s">
        <v>111</v>
      </c>
      <c r="F87" t="s">
        <v>25</v>
      </c>
      <c r="H87" t="s">
        <v>47</v>
      </c>
      <c r="I87" t="s">
        <v>115</v>
      </c>
      <c r="J87" t="s">
        <v>58</v>
      </c>
      <c r="K87" t="s">
        <v>101</v>
      </c>
      <c r="M87">
        <v>44</v>
      </c>
      <c r="N87" t="s">
        <v>31</v>
      </c>
      <c r="O87">
        <v>132</v>
      </c>
      <c r="P87" t="s">
        <v>32</v>
      </c>
      <c r="Q87">
        <v>1</v>
      </c>
      <c r="T87" t="s">
        <v>206</v>
      </c>
      <c r="U87">
        <v>3</v>
      </c>
      <c r="V87">
        <v>3.57</v>
      </c>
    </row>
    <row r="88" spans="1:22" x14ac:dyDescent="0.25">
      <c r="A88">
        <v>1000567414</v>
      </c>
      <c r="B88" t="s">
        <v>106</v>
      </c>
      <c r="C88" t="s">
        <v>126</v>
      </c>
      <c r="D88" t="s">
        <v>23</v>
      </c>
      <c r="E88" t="s">
        <v>127</v>
      </c>
      <c r="F88" t="s">
        <v>25</v>
      </c>
      <c r="H88" t="s">
        <v>151</v>
      </c>
      <c r="I88" t="s">
        <v>152</v>
      </c>
      <c r="J88" t="s">
        <v>153</v>
      </c>
      <c r="K88" t="s">
        <v>152</v>
      </c>
      <c r="L88" t="s">
        <v>153</v>
      </c>
      <c r="M88">
        <v>75</v>
      </c>
      <c r="N88" t="s">
        <v>31</v>
      </c>
      <c r="O88">
        <v>4125</v>
      </c>
      <c r="P88" t="s">
        <v>32</v>
      </c>
      <c r="Q88">
        <v>1</v>
      </c>
      <c r="T88" t="s">
        <v>207</v>
      </c>
      <c r="U88">
        <v>55</v>
      </c>
      <c r="V88">
        <v>65.45</v>
      </c>
    </row>
    <row r="89" spans="1:22" x14ac:dyDescent="0.25">
      <c r="A89">
        <v>1000567418</v>
      </c>
      <c r="B89" t="s">
        <v>106</v>
      </c>
      <c r="C89" t="s">
        <v>113</v>
      </c>
      <c r="D89" t="s">
        <v>23</v>
      </c>
      <c r="E89" t="s">
        <v>114</v>
      </c>
      <c r="F89" t="s">
        <v>25</v>
      </c>
      <c r="H89" t="s">
        <v>122</v>
      </c>
      <c r="I89" t="s">
        <v>123</v>
      </c>
      <c r="J89" t="s">
        <v>124</v>
      </c>
      <c r="K89" t="s">
        <v>123</v>
      </c>
      <c r="L89" t="s">
        <v>124</v>
      </c>
      <c r="M89">
        <v>124</v>
      </c>
      <c r="N89" t="s">
        <v>31</v>
      </c>
      <c r="O89">
        <v>56420</v>
      </c>
      <c r="P89" t="s">
        <v>32</v>
      </c>
      <c r="Q89">
        <v>1</v>
      </c>
      <c r="T89" t="s">
        <v>208</v>
      </c>
      <c r="U89">
        <v>455</v>
      </c>
      <c r="V89">
        <v>541.44999999999993</v>
      </c>
    </row>
    <row r="90" spans="1:22" x14ac:dyDescent="0.25">
      <c r="A90">
        <v>1000567420</v>
      </c>
      <c r="B90" t="s">
        <v>106</v>
      </c>
      <c r="C90" t="s">
        <v>186</v>
      </c>
      <c r="D90" t="s">
        <v>23</v>
      </c>
      <c r="E90" t="s">
        <v>187</v>
      </c>
      <c r="F90" t="s">
        <v>25</v>
      </c>
      <c r="H90" t="s">
        <v>151</v>
      </c>
      <c r="I90" t="s">
        <v>152</v>
      </c>
      <c r="J90" t="s">
        <v>153</v>
      </c>
      <c r="K90" t="s">
        <v>152</v>
      </c>
      <c r="L90" t="s">
        <v>153</v>
      </c>
      <c r="M90">
        <v>75</v>
      </c>
      <c r="N90" t="s">
        <v>31</v>
      </c>
      <c r="O90">
        <v>9150</v>
      </c>
      <c r="P90" t="s">
        <v>32</v>
      </c>
      <c r="Q90">
        <v>1</v>
      </c>
      <c r="T90" t="s">
        <v>209</v>
      </c>
      <c r="U90">
        <v>122</v>
      </c>
      <c r="V90">
        <v>145.18</v>
      </c>
    </row>
    <row r="91" spans="1:22" x14ac:dyDescent="0.25">
      <c r="A91">
        <v>1000567421</v>
      </c>
      <c r="B91" t="s">
        <v>106</v>
      </c>
      <c r="C91" t="s">
        <v>210</v>
      </c>
      <c r="D91" t="s">
        <v>23</v>
      </c>
      <c r="E91" t="s">
        <v>211</v>
      </c>
      <c r="F91" t="s">
        <v>25</v>
      </c>
      <c r="H91" t="s">
        <v>122</v>
      </c>
      <c r="I91" t="s">
        <v>123</v>
      </c>
      <c r="J91" t="s">
        <v>124</v>
      </c>
      <c r="K91" t="s">
        <v>123</v>
      </c>
      <c r="L91" t="s">
        <v>124</v>
      </c>
      <c r="M91">
        <v>512</v>
      </c>
      <c r="N91" t="s">
        <v>31</v>
      </c>
      <c r="O91">
        <v>57344</v>
      </c>
      <c r="P91" t="s">
        <v>32</v>
      </c>
      <c r="Q91">
        <v>1</v>
      </c>
      <c r="T91" t="s">
        <v>212</v>
      </c>
      <c r="U91">
        <v>112</v>
      </c>
      <c r="V91">
        <v>133.28</v>
      </c>
    </row>
    <row r="92" spans="1:22" x14ac:dyDescent="0.25">
      <c r="A92">
        <v>1000567422</v>
      </c>
      <c r="B92" t="s">
        <v>106</v>
      </c>
      <c r="C92" t="s">
        <v>107</v>
      </c>
      <c r="D92" t="s">
        <v>23</v>
      </c>
      <c r="E92" t="s">
        <v>108</v>
      </c>
      <c r="F92" t="s">
        <v>25</v>
      </c>
      <c r="H92" t="s">
        <v>122</v>
      </c>
      <c r="I92" t="s">
        <v>123</v>
      </c>
      <c r="J92" t="s">
        <v>124</v>
      </c>
      <c r="K92" t="s">
        <v>123</v>
      </c>
      <c r="L92" t="s">
        <v>124</v>
      </c>
      <c r="M92">
        <v>512</v>
      </c>
      <c r="N92" t="s">
        <v>31</v>
      </c>
      <c r="O92">
        <v>1227776</v>
      </c>
      <c r="P92" t="s">
        <v>32</v>
      </c>
      <c r="Q92">
        <v>1</v>
      </c>
      <c r="T92" t="s">
        <v>213</v>
      </c>
      <c r="U92">
        <v>2398</v>
      </c>
      <c r="V92">
        <v>2853.62</v>
      </c>
    </row>
    <row r="93" spans="1:22" x14ac:dyDescent="0.25">
      <c r="A93">
        <v>1000567429</v>
      </c>
      <c r="B93" t="s">
        <v>106</v>
      </c>
      <c r="C93" t="s">
        <v>166</v>
      </c>
      <c r="D93" t="s">
        <v>23</v>
      </c>
      <c r="E93" t="s">
        <v>167</v>
      </c>
      <c r="F93" t="s">
        <v>25</v>
      </c>
      <c r="H93" t="s">
        <v>47</v>
      </c>
      <c r="I93" t="s">
        <v>115</v>
      </c>
      <c r="J93" t="s">
        <v>58</v>
      </c>
      <c r="K93" t="s">
        <v>115</v>
      </c>
      <c r="M93">
        <v>44</v>
      </c>
      <c r="N93" t="s">
        <v>31</v>
      </c>
      <c r="O93">
        <v>34056</v>
      </c>
      <c r="P93" t="s">
        <v>32</v>
      </c>
      <c r="Q93">
        <v>1</v>
      </c>
      <c r="T93" t="s">
        <v>214</v>
      </c>
      <c r="U93">
        <v>774</v>
      </c>
      <c r="V93">
        <v>921.06</v>
      </c>
    </row>
    <row r="94" spans="1:22" x14ac:dyDescent="0.25">
      <c r="A94">
        <v>1000567432</v>
      </c>
      <c r="B94" t="s">
        <v>106</v>
      </c>
      <c r="C94" t="s">
        <v>110</v>
      </c>
      <c r="D94" t="s">
        <v>23</v>
      </c>
      <c r="E94" t="s">
        <v>111</v>
      </c>
      <c r="F94" t="s">
        <v>25</v>
      </c>
      <c r="H94" t="s">
        <v>151</v>
      </c>
      <c r="I94" t="s">
        <v>152</v>
      </c>
      <c r="J94" t="s">
        <v>153</v>
      </c>
      <c r="K94" t="s">
        <v>152</v>
      </c>
      <c r="L94" t="s">
        <v>153</v>
      </c>
      <c r="M94">
        <v>75</v>
      </c>
      <c r="N94" t="s">
        <v>31</v>
      </c>
      <c r="O94">
        <v>225</v>
      </c>
      <c r="P94" t="s">
        <v>32</v>
      </c>
      <c r="Q94">
        <v>1</v>
      </c>
      <c r="T94" t="s">
        <v>215</v>
      </c>
      <c r="U94">
        <v>3</v>
      </c>
      <c r="V94">
        <v>3.57</v>
      </c>
    </row>
    <row r="95" spans="1:22" x14ac:dyDescent="0.25">
      <c r="A95">
        <v>1000567434</v>
      </c>
      <c r="B95" t="s">
        <v>106</v>
      </c>
      <c r="C95" t="s">
        <v>126</v>
      </c>
      <c r="D95" t="s">
        <v>23</v>
      </c>
      <c r="E95" t="s">
        <v>127</v>
      </c>
      <c r="F95" t="s">
        <v>25</v>
      </c>
      <c r="H95" t="s">
        <v>122</v>
      </c>
      <c r="I95" t="s">
        <v>123</v>
      </c>
      <c r="J95" t="s">
        <v>124</v>
      </c>
      <c r="K95" t="s">
        <v>123</v>
      </c>
      <c r="L95" t="s">
        <v>124</v>
      </c>
      <c r="M95">
        <v>124</v>
      </c>
      <c r="N95" t="s">
        <v>31</v>
      </c>
      <c r="O95">
        <v>6820</v>
      </c>
      <c r="P95" t="s">
        <v>32</v>
      </c>
      <c r="Q95">
        <v>1</v>
      </c>
      <c r="T95" t="s">
        <v>216</v>
      </c>
      <c r="U95">
        <v>55</v>
      </c>
      <c r="V95">
        <v>65.45</v>
      </c>
    </row>
    <row r="96" spans="1:22" x14ac:dyDescent="0.25">
      <c r="A96">
        <v>1000567435</v>
      </c>
      <c r="B96" t="s">
        <v>106</v>
      </c>
      <c r="C96" t="s">
        <v>157</v>
      </c>
      <c r="D96" t="s">
        <v>23</v>
      </c>
      <c r="E96" t="s">
        <v>158</v>
      </c>
      <c r="F96" t="s">
        <v>25</v>
      </c>
      <c r="H96" t="s">
        <v>47</v>
      </c>
      <c r="I96" t="s">
        <v>115</v>
      </c>
      <c r="J96" t="s">
        <v>58</v>
      </c>
      <c r="K96" t="s">
        <v>115</v>
      </c>
      <c r="M96">
        <v>44</v>
      </c>
      <c r="N96" t="s">
        <v>31</v>
      </c>
      <c r="O96">
        <v>2200</v>
      </c>
      <c r="P96" t="s">
        <v>32</v>
      </c>
      <c r="Q96">
        <v>1</v>
      </c>
      <c r="T96" t="s">
        <v>217</v>
      </c>
      <c r="U96">
        <v>50</v>
      </c>
      <c r="V96">
        <v>59.5</v>
      </c>
    </row>
    <row r="97" spans="1:22" x14ac:dyDescent="0.25">
      <c r="A97">
        <v>1000567437</v>
      </c>
      <c r="B97" t="s">
        <v>106</v>
      </c>
      <c r="C97" t="s">
        <v>210</v>
      </c>
      <c r="D97" t="s">
        <v>23</v>
      </c>
      <c r="E97" t="s">
        <v>211</v>
      </c>
      <c r="F97" t="s">
        <v>25</v>
      </c>
      <c r="H97" t="s">
        <v>46</v>
      </c>
      <c r="I97" t="s">
        <v>47</v>
      </c>
      <c r="J97" t="s">
        <v>76</v>
      </c>
      <c r="K97" t="s">
        <v>47</v>
      </c>
      <c r="L97" t="s">
        <v>76</v>
      </c>
      <c r="M97">
        <v>56</v>
      </c>
      <c r="N97" t="s">
        <v>31</v>
      </c>
      <c r="O97">
        <v>6272</v>
      </c>
      <c r="P97" t="s">
        <v>32</v>
      </c>
      <c r="Q97">
        <v>1</v>
      </c>
      <c r="T97" t="s">
        <v>218</v>
      </c>
      <c r="U97">
        <v>112</v>
      </c>
      <c r="V97">
        <v>133.28</v>
      </c>
    </row>
    <row r="98" spans="1:22" x14ac:dyDescent="0.25">
      <c r="A98">
        <v>1000567443</v>
      </c>
      <c r="B98" t="s">
        <v>106</v>
      </c>
      <c r="C98" t="s">
        <v>196</v>
      </c>
      <c r="D98" t="s">
        <v>23</v>
      </c>
      <c r="E98" t="s">
        <v>197</v>
      </c>
      <c r="F98" t="s">
        <v>25</v>
      </c>
      <c r="H98" t="s">
        <v>151</v>
      </c>
      <c r="I98" t="s">
        <v>152</v>
      </c>
      <c r="J98" t="s">
        <v>153</v>
      </c>
      <c r="K98" t="s">
        <v>152</v>
      </c>
      <c r="L98" t="s">
        <v>153</v>
      </c>
      <c r="M98">
        <v>75</v>
      </c>
      <c r="N98" t="s">
        <v>31</v>
      </c>
      <c r="O98">
        <v>62475</v>
      </c>
      <c r="P98" t="s">
        <v>32</v>
      </c>
      <c r="Q98">
        <v>1</v>
      </c>
      <c r="T98" t="s">
        <v>219</v>
      </c>
      <c r="U98">
        <v>833</v>
      </c>
      <c r="V98">
        <v>991.27</v>
      </c>
    </row>
    <row r="99" spans="1:22" x14ac:dyDescent="0.25">
      <c r="A99">
        <v>1000567446</v>
      </c>
      <c r="B99" t="s">
        <v>106</v>
      </c>
      <c r="C99" t="s">
        <v>110</v>
      </c>
      <c r="D99" t="s">
        <v>23</v>
      </c>
      <c r="E99" t="s">
        <v>111</v>
      </c>
      <c r="F99" t="s">
        <v>25</v>
      </c>
      <c r="H99" t="s">
        <v>122</v>
      </c>
      <c r="I99" t="s">
        <v>123</v>
      </c>
      <c r="J99" t="s">
        <v>124</v>
      </c>
      <c r="K99" t="s">
        <v>123</v>
      </c>
      <c r="L99" t="s">
        <v>124</v>
      </c>
      <c r="M99">
        <v>512</v>
      </c>
      <c r="N99" t="s">
        <v>31</v>
      </c>
      <c r="O99">
        <v>1536</v>
      </c>
      <c r="P99" t="s">
        <v>32</v>
      </c>
      <c r="Q99">
        <v>1</v>
      </c>
      <c r="T99" t="s">
        <v>220</v>
      </c>
      <c r="U99">
        <v>3</v>
      </c>
      <c r="V99">
        <v>3.57</v>
      </c>
    </row>
    <row r="100" spans="1:22" x14ac:dyDescent="0.25">
      <c r="A100">
        <v>1000567448</v>
      </c>
      <c r="B100" t="s">
        <v>106</v>
      </c>
      <c r="C100" t="s">
        <v>126</v>
      </c>
      <c r="D100" t="s">
        <v>23</v>
      </c>
      <c r="E100" t="s">
        <v>127</v>
      </c>
      <c r="F100" t="s">
        <v>25</v>
      </c>
      <c r="H100" t="s">
        <v>122</v>
      </c>
      <c r="I100" t="s">
        <v>123</v>
      </c>
      <c r="J100" t="s">
        <v>124</v>
      </c>
      <c r="K100" t="s">
        <v>221</v>
      </c>
      <c r="L100" t="s">
        <v>151</v>
      </c>
      <c r="M100">
        <v>512</v>
      </c>
      <c r="N100" t="s">
        <v>31</v>
      </c>
      <c r="O100">
        <v>28160</v>
      </c>
      <c r="P100" t="s">
        <v>32</v>
      </c>
      <c r="Q100">
        <v>1</v>
      </c>
      <c r="T100" t="s">
        <v>222</v>
      </c>
      <c r="U100">
        <v>55</v>
      </c>
      <c r="V100">
        <v>65.45</v>
      </c>
    </row>
    <row r="101" spans="1:22" x14ac:dyDescent="0.25">
      <c r="A101">
        <v>1000567450</v>
      </c>
      <c r="B101" t="s">
        <v>106</v>
      </c>
      <c r="C101" t="s">
        <v>196</v>
      </c>
      <c r="D101" t="s">
        <v>23</v>
      </c>
      <c r="E101" t="s">
        <v>197</v>
      </c>
      <c r="F101" t="s">
        <v>25</v>
      </c>
      <c r="H101" t="s">
        <v>47</v>
      </c>
      <c r="I101" t="s">
        <v>115</v>
      </c>
      <c r="J101" t="s">
        <v>58</v>
      </c>
      <c r="K101" t="s">
        <v>115</v>
      </c>
      <c r="M101">
        <v>44</v>
      </c>
      <c r="N101" t="s">
        <v>31</v>
      </c>
      <c r="O101">
        <v>36652</v>
      </c>
      <c r="P101" t="s">
        <v>32</v>
      </c>
      <c r="Q101">
        <v>1</v>
      </c>
      <c r="T101" t="s">
        <v>223</v>
      </c>
      <c r="U101">
        <v>833</v>
      </c>
      <c r="V101">
        <v>991.27</v>
      </c>
    </row>
    <row r="102" spans="1:22" x14ac:dyDescent="0.25">
      <c r="A102">
        <v>1000567460</v>
      </c>
      <c r="B102" t="s">
        <v>106</v>
      </c>
      <c r="C102" t="s">
        <v>160</v>
      </c>
      <c r="D102" t="s">
        <v>23</v>
      </c>
      <c r="E102" t="s">
        <v>161</v>
      </c>
      <c r="F102" t="s">
        <v>25</v>
      </c>
      <c r="H102" t="s">
        <v>47</v>
      </c>
      <c r="I102" t="s">
        <v>115</v>
      </c>
      <c r="J102" t="s">
        <v>58</v>
      </c>
      <c r="K102" t="s">
        <v>101</v>
      </c>
      <c r="M102">
        <v>44</v>
      </c>
      <c r="N102" t="s">
        <v>31</v>
      </c>
      <c r="O102">
        <v>1056</v>
      </c>
      <c r="P102" t="s">
        <v>32</v>
      </c>
      <c r="Q102">
        <v>1</v>
      </c>
      <c r="T102" t="s">
        <v>224</v>
      </c>
      <c r="U102">
        <v>24</v>
      </c>
      <c r="V102">
        <v>28.56</v>
      </c>
    </row>
    <row r="103" spans="1:22" x14ac:dyDescent="0.25">
      <c r="A103">
        <v>1000567462</v>
      </c>
      <c r="B103" t="s">
        <v>106</v>
      </c>
      <c r="C103" t="s">
        <v>186</v>
      </c>
      <c r="D103" t="s">
        <v>23</v>
      </c>
      <c r="E103" t="s">
        <v>187</v>
      </c>
      <c r="F103" t="s">
        <v>25</v>
      </c>
      <c r="H103" t="s">
        <v>47</v>
      </c>
      <c r="I103" t="s">
        <v>115</v>
      </c>
      <c r="J103" t="s">
        <v>58</v>
      </c>
      <c r="K103" t="s">
        <v>115</v>
      </c>
      <c r="M103">
        <v>44</v>
      </c>
      <c r="N103" t="s">
        <v>31</v>
      </c>
      <c r="O103">
        <v>5368</v>
      </c>
      <c r="P103" t="s">
        <v>32</v>
      </c>
      <c r="Q103">
        <v>1</v>
      </c>
      <c r="T103" t="s">
        <v>225</v>
      </c>
      <c r="U103">
        <v>122</v>
      </c>
      <c r="V103">
        <v>145.18</v>
      </c>
    </row>
    <row r="104" spans="1:22" x14ac:dyDescent="0.25">
      <c r="A104">
        <v>1000567463</v>
      </c>
      <c r="B104" t="s">
        <v>106</v>
      </c>
      <c r="C104" t="s">
        <v>135</v>
      </c>
      <c r="D104" t="s">
        <v>23</v>
      </c>
      <c r="E104" t="s">
        <v>136</v>
      </c>
      <c r="F104" t="s">
        <v>25</v>
      </c>
      <c r="H104" t="s">
        <v>151</v>
      </c>
      <c r="I104" t="s">
        <v>152</v>
      </c>
      <c r="J104" t="s">
        <v>153</v>
      </c>
      <c r="K104" t="s">
        <v>152</v>
      </c>
      <c r="L104" t="s">
        <v>153</v>
      </c>
      <c r="M104">
        <v>75</v>
      </c>
      <c r="N104" t="s">
        <v>31</v>
      </c>
      <c r="O104">
        <v>8100</v>
      </c>
      <c r="P104" t="s">
        <v>32</v>
      </c>
      <c r="Q104">
        <v>1</v>
      </c>
      <c r="T104" t="s">
        <v>226</v>
      </c>
      <c r="U104">
        <v>108</v>
      </c>
      <c r="V104">
        <v>128.52000000000001</v>
      </c>
    </row>
    <row r="105" spans="1:22" x14ac:dyDescent="0.25">
      <c r="A105">
        <v>1000567467</v>
      </c>
      <c r="B105" t="s">
        <v>106</v>
      </c>
      <c r="C105" t="s">
        <v>160</v>
      </c>
      <c r="D105" t="s">
        <v>23</v>
      </c>
      <c r="E105" t="s">
        <v>161</v>
      </c>
      <c r="F105" t="s">
        <v>25</v>
      </c>
      <c r="H105" t="s">
        <v>122</v>
      </c>
      <c r="I105" t="s">
        <v>123</v>
      </c>
      <c r="J105" t="s">
        <v>124</v>
      </c>
      <c r="K105" t="s">
        <v>123</v>
      </c>
      <c r="L105" t="s">
        <v>124</v>
      </c>
      <c r="M105">
        <v>512</v>
      </c>
      <c r="N105" t="s">
        <v>31</v>
      </c>
      <c r="O105">
        <v>12288</v>
      </c>
      <c r="P105" t="s">
        <v>32</v>
      </c>
      <c r="Q105">
        <v>1</v>
      </c>
      <c r="T105" t="s">
        <v>227</v>
      </c>
      <c r="U105">
        <v>24</v>
      </c>
      <c r="V105">
        <v>28.56</v>
      </c>
    </row>
    <row r="106" spans="1:22" x14ac:dyDescent="0.25">
      <c r="A106">
        <v>1000567470</v>
      </c>
      <c r="B106" t="s">
        <v>106</v>
      </c>
      <c r="C106" t="s">
        <v>110</v>
      </c>
      <c r="D106" t="s">
        <v>23</v>
      </c>
      <c r="E106" t="s">
        <v>111</v>
      </c>
      <c r="F106" t="s">
        <v>25</v>
      </c>
      <c r="H106" t="s">
        <v>46</v>
      </c>
      <c r="I106" t="s">
        <v>47</v>
      </c>
      <c r="J106" t="s">
        <v>76</v>
      </c>
      <c r="K106" t="s">
        <v>47</v>
      </c>
      <c r="L106" t="s">
        <v>76</v>
      </c>
      <c r="M106">
        <v>56</v>
      </c>
      <c r="N106" t="s">
        <v>31</v>
      </c>
      <c r="O106">
        <v>168</v>
      </c>
      <c r="P106" t="s">
        <v>32</v>
      </c>
      <c r="Q106">
        <v>1</v>
      </c>
      <c r="T106" t="s">
        <v>228</v>
      </c>
      <c r="U106">
        <v>3</v>
      </c>
      <c r="V106">
        <v>3.57</v>
      </c>
    </row>
    <row r="107" spans="1:22" x14ac:dyDescent="0.25">
      <c r="A107">
        <v>1000567471</v>
      </c>
      <c r="B107" t="s">
        <v>106</v>
      </c>
      <c r="C107" t="s">
        <v>169</v>
      </c>
      <c r="D107" t="s">
        <v>23</v>
      </c>
      <c r="E107" t="s">
        <v>170</v>
      </c>
      <c r="F107" t="s">
        <v>25</v>
      </c>
      <c r="H107" t="s">
        <v>122</v>
      </c>
      <c r="I107" t="s">
        <v>123</v>
      </c>
      <c r="J107" t="s">
        <v>124</v>
      </c>
      <c r="K107" t="s">
        <v>229</v>
      </c>
      <c r="L107" t="s">
        <v>51</v>
      </c>
      <c r="M107">
        <v>512</v>
      </c>
      <c r="N107" t="s">
        <v>31</v>
      </c>
      <c r="O107">
        <v>604160</v>
      </c>
      <c r="P107" t="s">
        <v>32</v>
      </c>
      <c r="Q107">
        <v>1</v>
      </c>
      <c r="T107" t="s">
        <v>230</v>
      </c>
      <c r="U107">
        <v>1180</v>
      </c>
      <c r="V107">
        <v>1404.2</v>
      </c>
    </row>
    <row r="108" spans="1:22" x14ac:dyDescent="0.25">
      <c r="A108">
        <v>1000567474</v>
      </c>
      <c r="B108" t="s">
        <v>106</v>
      </c>
      <c r="C108" t="s">
        <v>110</v>
      </c>
      <c r="D108" t="s">
        <v>23</v>
      </c>
      <c r="E108" t="s">
        <v>111</v>
      </c>
      <c r="F108" t="s">
        <v>25</v>
      </c>
      <c r="H108" t="s">
        <v>151</v>
      </c>
      <c r="I108" t="s">
        <v>152</v>
      </c>
      <c r="J108" t="s">
        <v>153</v>
      </c>
      <c r="K108" t="s">
        <v>152</v>
      </c>
      <c r="L108" t="s">
        <v>153</v>
      </c>
      <c r="M108">
        <v>75</v>
      </c>
      <c r="N108" t="s">
        <v>31</v>
      </c>
      <c r="O108">
        <v>225</v>
      </c>
      <c r="P108" t="s">
        <v>32</v>
      </c>
      <c r="Q108">
        <v>1</v>
      </c>
      <c r="T108" t="s">
        <v>231</v>
      </c>
      <c r="U108">
        <v>3</v>
      </c>
      <c r="V108">
        <v>3.57</v>
      </c>
    </row>
    <row r="109" spans="1:22" x14ac:dyDescent="0.25">
      <c r="A109">
        <v>1000567475</v>
      </c>
      <c r="B109" t="s">
        <v>106</v>
      </c>
      <c r="C109" t="s">
        <v>141</v>
      </c>
      <c r="D109" t="s">
        <v>23</v>
      </c>
      <c r="E109" t="s">
        <v>142</v>
      </c>
      <c r="F109" t="s">
        <v>25</v>
      </c>
      <c r="H109" t="s">
        <v>151</v>
      </c>
      <c r="I109" t="s">
        <v>152</v>
      </c>
      <c r="J109" t="s">
        <v>153</v>
      </c>
      <c r="K109" t="s">
        <v>152</v>
      </c>
      <c r="L109" t="s">
        <v>153</v>
      </c>
      <c r="M109">
        <v>75</v>
      </c>
      <c r="N109" t="s">
        <v>31</v>
      </c>
      <c r="O109">
        <v>26250</v>
      </c>
      <c r="P109" t="s">
        <v>32</v>
      </c>
      <c r="Q109">
        <v>1</v>
      </c>
      <c r="T109" t="s">
        <v>232</v>
      </c>
      <c r="U109">
        <v>350</v>
      </c>
      <c r="V109">
        <v>416.5</v>
      </c>
    </row>
    <row r="110" spans="1:22" x14ac:dyDescent="0.25">
      <c r="A110">
        <v>1000567479</v>
      </c>
      <c r="B110" t="s">
        <v>106</v>
      </c>
      <c r="C110" t="s">
        <v>132</v>
      </c>
      <c r="D110" t="s">
        <v>23</v>
      </c>
      <c r="E110" t="s">
        <v>133</v>
      </c>
      <c r="F110" t="s">
        <v>25</v>
      </c>
      <c r="H110" t="s">
        <v>46</v>
      </c>
      <c r="I110" t="s">
        <v>47</v>
      </c>
      <c r="J110" t="s">
        <v>76</v>
      </c>
      <c r="K110" t="s">
        <v>47</v>
      </c>
      <c r="L110" t="s">
        <v>76</v>
      </c>
      <c r="M110">
        <v>56</v>
      </c>
      <c r="N110" t="s">
        <v>31</v>
      </c>
      <c r="O110">
        <v>19600</v>
      </c>
      <c r="P110" t="s">
        <v>32</v>
      </c>
      <c r="Q110">
        <v>1</v>
      </c>
      <c r="T110" t="s">
        <v>233</v>
      </c>
      <c r="U110">
        <v>350</v>
      </c>
      <c r="V110">
        <v>416.5</v>
      </c>
    </row>
    <row r="111" spans="1:22" x14ac:dyDescent="0.25">
      <c r="A111">
        <v>1000567482</v>
      </c>
      <c r="B111" t="s">
        <v>106</v>
      </c>
      <c r="C111" t="s">
        <v>160</v>
      </c>
      <c r="D111" t="s">
        <v>23</v>
      </c>
      <c r="E111" t="s">
        <v>161</v>
      </c>
      <c r="F111" t="s">
        <v>25</v>
      </c>
      <c r="H111" t="s">
        <v>46</v>
      </c>
      <c r="I111" t="s">
        <v>47</v>
      </c>
      <c r="J111" t="s">
        <v>76</v>
      </c>
      <c r="K111" t="s">
        <v>234</v>
      </c>
      <c r="L111" t="s">
        <v>235</v>
      </c>
      <c r="M111">
        <v>56</v>
      </c>
      <c r="N111" t="s">
        <v>31</v>
      </c>
      <c r="O111">
        <v>1344</v>
      </c>
      <c r="P111" t="s">
        <v>32</v>
      </c>
      <c r="Q111">
        <v>1</v>
      </c>
      <c r="T111" t="s">
        <v>236</v>
      </c>
      <c r="U111">
        <v>24</v>
      </c>
      <c r="V111">
        <v>28.56</v>
      </c>
    </row>
    <row r="112" spans="1:22" x14ac:dyDescent="0.25">
      <c r="A112">
        <v>1000567486</v>
      </c>
      <c r="B112" t="s">
        <v>106</v>
      </c>
      <c r="C112" t="s">
        <v>169</v>
      </c>
      <c r="D112" t="s">
        <v>23</v>
      </c>
      <c r="E112" t="s">
        <v>170</v>
      </c>
      <c r="F112" t="s">
        <v>25</v>
      </c>
      <c r="H112" t="s">
        <v>47</v>
      </c>
      <c r="I112" t="s">
        <v>115</v>
      </c>
      <c r="J112" t="s">
        <v>58</v>
      </c>
      <c r="K112" t="s">
        <v>115</v>
      </c>
      <c r="M112">
        <v>44</v>
      </c>
      <c r="N112" t="s">
        <v>31</v>
      </c>
      <c r="O112">
        <v>56760</v>
      </c>
      <c r="P112" t="s">
        <v>32</v>
      </c>
      <c r="Q112">
        <v>1</v>
      </c>
      <c r="T112" t="s">
        <v>237</v>
      </c>
      <c r="U112">
        <v>1290</v>
      </c>
      <c r="V112">
        <v>1535.1</v>
      </c>
    </row>
    <row r="113" spans="1:22" x14ac:dyDescent="0.25">
      <c r="A113">
        <v>1000567494</v>
      </c>
      <c r="B113" t="s">
        <v>106</v>
      </c>
      <c r="C113" t="s">
        <v>141</v>
      </c>
      <c r="D113" t="s">
        <v>23</v>
      </c>
      <c r="E113" t="s">
        <v>142</v>
      </c>
      <c r="F113" t="s">
        <v>25</v>
      </c>
      <c r="H113" t="s">
        <v>122</v>
      </c>
      <c r="I113" t="s">
        <v>123</v>
      </c>
      <c r="J113" t="s">
        <v>124</v>
      </c>
      <c r="K113" t="s">
        <v>123</v>
      </c>
      <c r="L113" t="s">
        <v>124</v>
      </c>
      <c r="M113">
        <v>124</v>
      </c>
      <c r="N113" t="s">
        <v>31</v>
      </c>
      <c r="O113">
        <v>43400</v>
      </c>
      <c r="P113" t="s">
        <v>32</v>
      </c>
      <c r="Q113">
        <v>1</v>
      </c>
      <c r="T113" t="s">
        <v>238</v>
      </c>
      <c r="U113">
        <v>350</v>
      </c>
      <c r="V113">
        <v>416.5</v>
      </c>
    </row>
    <row r="114" spans="1:22" x14ac:dyDescent="0.25">
      <c r="A114">
        <v>1000567497</v>
      </c>
      <c r="B114" t="s">
        <v>106</v>
      </c>
      <c r="C114" t="s">
        <v>110</v>
      </c>
      <c r="D114" t="s">
        <v>23</v>
      </c>
      <c r="E114" t="s">
        <v>111</v>
      </c>
      <c r="F114" t="s">
        <v>25</v>
      </c>
      <c r="H114" t="s">
        <v>47</v>
      </c>
      <c r="I114" t="s">
        <v>115</v>
      </c>
      <c r="J114" t="s">
        <v>58</v>
      </c>
      <c r="K114" t="s">
        <v>180</v>
      </c>
      <c r="M114">
        <v>44</v>
      </c>
      <c r="N114" t="s">
        <v>31</v>
      </c>
      <c r="O114">
        <v>132</v>
      </c>
      <c r="P114" t="s">
        <v>32</v>
      </c>
      <c r="Q114">
        <v>1</v>
      </c>
      <c r="T114" t="s">
        <v>239</v>
      </c>
      <c r="U114">
        <v>3</v>
      </c>
      <c r="V114">
        <v>3.57</v>
      </c>
    </row>
    <row r="115" spans="1:22" x14ac:dyDescent="0.25">
      <c r="A115">
        <v>1000567500</v>
      </c>
      <c r="B115" t="s">
        <v>106</v>
      </c>
      <c r="C115" t="s">
        <v>169</v>
      </c>
      <c r="D115" t="s">
        <v>23</v>
      </c>
      <c r="E115" t="s">
        <v>170</v>
      </c>
      <c r="F115" t="s">
        <v>25</v>
      </c>
      <c r="H115" t="s">
        <v>46</v>
      </c>
      <c r="I115" t="s">
        <v>47</v>
      </c>
      <c r="J115" t="s">
        <v>76</v>
      </c>
      <c r="K115" t="s">
        <v>47</v>
      </c>
      <c r="L115" t="s">
        <v>76</v>
      </c>
      <c r="M115">
        <v>56</v>
      </c>
      <c r="N115" t="s">
        <v>31</v>
      </c>
      <c r="O115">
        <v>66080</v>
      </c>
      <c r="P115" t="s">
        <v>32</v>
      </c>
      <c r="Q115">
        <v>1</v>
      </c>
      <c r="T115" t="s">
        <v>240</v>
      </c>
      <c r="U115">
        <v>1180</v>
      </c>
      <c r="V115">
        <v>1404.2</v>
      </c>
    </row>
    <row r="116" spans="1:22" x14ac:dyDescent="0.25">
      <c r="A116">
        <v>1000066000</v>
      </c>
      <c r="B116" t="s">
        <v>106</v>
      </c>
      <c r="C116" t="s">
        <v>196</v>
      </c>
      <c r="D116" t="s">
        <v>23</v>
      </c>
      <c r="E116" t="s">
        <v>197</v>
      </c>
      <c r="F116" t="s">
        <v>37</v>
      </c>
      <c r="H116" t="s">
        <v>241</v>
      </c>
      <c r="I116" t="s">
        <v>242</v>
      </c>
      <c r="J116" t="s">
        <v>243</v>
      </c>
      <c r="K116" t="s">
        <v>242</v>
      </c>
      <c r="L116" t="s">
        <v>243</v>
      </c>
      <c r="M116">
        <v>1400</v>
      </c>
      <c r="N116" t="s">
        <v>31</v>
      </c>
      <c r="O116">
        <v>226800</v>
      </c>
      <c r="P116" t="s">
        <v>32</v>
      </c>
      <c r="Q116">
        <v>4</v>
      </c>
      <c r="T116" t="s">
        <v>63</v>
      </c>
      <c r="U116">
        <v>162</v>
      </c>
      <c r="V116">
        <v>192.78</v>
      </c>
    </row>
    <row r="117" spans="1:22" x14ac:dyDescent="0.25">
      <c r="A117">
        <v>1000066001</v>
      </c>
      <c r="B117" t="s">
        <v>106</v>
      </c>
      <c r="C117" t="s">
        <v>196</v>
      </c>
      <c r="D117" t="s">
        <v>23</v>
      </c>
      <c r="E117" t="s">
        <v>197</v>
      </c>
      <c r="F117" t="s">
        <v>37</v>
      </c>
      <c r="H117" t="s">
        <v>241</v>
      </c>
      <c r="I117" t="s">
        <v>44</v>
      </c>
      <c r="J117" t="s">
        <v>244</v>
      </c>
      <c r="K117" t="s">
        <v>44</v>
      </c>
      <c r="L117" t="s">
        <v>244</v>
      </c>
      <c r="M117">
        <v>1400</v>
      </c>
      <c r="N117" t="s">
        <v>31</v>
      </c>
      <c r="O117">
        <v>226800</v>
      </c>
      <c r="P117" t="s">
        <v>32</v>
      </c>
      <c r="Q117">
        <v>4</v>
      </c>
      <c r="T117" t="s">
        <v>41</v>
      </c>
      <c r="U117">
        <v>162</v>
      </c>
      <c r="V117">
        <v>192.78</v>
      </c>
    </row>
    <row r="118" spans="1:22" x14ac:dyDescent="0.25">
      <c r="A118">
        <v>1000066002</v>
      </c>
      <c r="B118" t="s">
        <v>106</v>
      </c>
      <c r="C118" t="s">
        <v>196</v>
      </c>
      <c r="D118" t="s">
        <v>23</v>
      </c>
      <c r="E118" t="s">
        <v>197</v>
      </c>
      <c r="F118" t="s">
        <v>37</v>
      </c>
      <c r="H118" t="s">
        <v>241</v>
      </c>
      <c r="I118" t="s">
        <v>245</v>
      </c>
      <c r="J118" t="s">
        <v>246</v>
      </c>
      <c r="K118" t="s">
        <v>245</v>
      </c>
      <c r="L118" t="s">
        <v>246</v>
      </c>
      <c r="M118">
        <v>1400</v>
      </c>
      <c r="N118" t="s">
        <v>31</v>
      </c>
      <c r="O118">
        <v>226800</v>
      </c>
      <c r="P118" t="s">
        <v>32</v>
      </c>
      <c r="Q118">
        <v>4</v>
      </c>
      <c r="T118" t="s">
        <v>67</v>
      </c>
      <c r="U118">
        <v>162</v>
      </c>
      <c r="V118">
        <v>192.78</v>
      </c>
    </row>
    <row r="119" spans="1:22" x14ac:dyDescent="0.25">
      <c r="A119">
        <v>1000066003</v>
      </c>
      <c r="B119" t="s">
        <v>106</v>
      </c>
      <c r="C119" t="s">
        <v>196</v>
      </c>
      <c r="D119" t="s">
        <v>23</v>
      </c>
      <c r="E119" t="s">
        <v>197</v>
      </c>
      <c r="F119" t="s">
        <v>37</v>
      </c>
      <c r="H119" t="s">
        <v>241</v>
      </c>
      <c r="I119" t="s">
        <v>91</v>
      </c>
      <c r="J119" t="s">
        <v>90</v>
      </c>
      <c r="K119" t="s">
        <v>247</v>
      </c>
      <c r="L119" t="s">
        <v>92</v>
      </c>
      <c r="M119">
        <v>1400</v>
      </c>
      <c r="N119" t="s">
        <v>31</v>
      </c>
      <c r="O119">
        <v>226800</v>
      </c>
      <c r="P119" t="s">
        <v>32</v>
      </c>
      <c r="Q119">
        <v>4</v>
      </c>
      <c r="T119" t="s">
        <v>45</v>
      </c>
      <c r="U119">
        <v>162</v>
      </c>
      <c r="V119">
        <v>192.78</v>
      </c>
    </row>
    <row r="120" spans="1:22" x14ac:dyDescent="0.25">
      <c r="A120">
        <v>1000066004</v>
      </c>
      <c r="B120" t="s">
        <v>106</v>
      </c>
      <c r="C120" t="s">
        <v>196</v>
      </c>
      <c r="D120" t="s">
        <v>23</v>
      </c>
      <c r="E120" t="s">
        <v>197</v>
      </c>
      <c r="F120" t="s">
        <v>37</v>
      </c>
      <c r="H120" t="s">
        <v>241</v>
      </c>
      <c r="I120" t="s">
        <v>248</v>
      </c>
      <c r="J120" t="s">
        <v>249</v>
      </c>
      <c r="K120" t="s">
        <v>250</v>
      </c>
      <c r="L120" t="s">
        <v>251</v>
      </c>
      <c r="M120">
        <v>1400</v>
      </c>
      <c r="N120" t="s">
        <v>31</v>
      </c>
      <c r="O120">
        <v>226800</v>
      </c>
      <c r="P120" t="s">
        <v>32</v>
      </c>
      <c r="Q120">
        <v>4</v>
      </c>
      <c r="T120" t="s">
        <v>252</v>
      </c>
      <c r="U120">
        <v>162</v>
      </c>
      <c r="V120">
        <v>192.78</v>
      </c>
    </row>
    <row r="121" spans="1:22" x14ac:dyDescent="0.25">
      <c r="A121">
        <v>1000066005</v>
      </c>
      <c r="B121" t="s">
        <v>106</v>
      </c>
      <c r="C121" t="s">
        <v>196</v>
      </c>
      <c r="D121" t="s">
        <v>23</v>
      </c>
      <c r="E121" t="s">
        <v>197</v>
      </c>
      <c r="F121" t="s">
        <v>37</v>
      </c>
      <c r="H121" t="s">
        <v>241</v>
      </c>
      <c r="I121" t="s">
        <v>253</v>
      </c>
      <c r="J121" t="s">
        <v>254</v>
      </c>
      <c r="K121" t="s">
        <v>253</v>
      </c>
      <c r="L121" t="s">
        <v>254</v>
      </c>
      <c r="M121">
        <v>1400</v>
      </c>
      <c r="N121" t="s">
        <v>31</v>
      </c>
      <c r="O121">
        <v>226800</v>
      </c>
      <c r="P121" t="s">
        <v>32</v>
      </c>
      <c r="Q121">
        <v>4</v>
      </c>
      <c r="T121" t="s">
        <v>68</v>
      </c>
      <c r="U121">
        <v>162</v>
      </c>
      <c r="V121">
        <v>192.78</v>
      </c>
    </row>
    <row r="122" spans="1:22" x14ac:dyDescent="0.25">
      <c r="A122">
        <v>1000066006</v>
      </c>
      <c r="B122" t="s">
        <v>106</v>
      </c>
      <c r="C122" t="s">
        <v>157</v>
      </c>
      <c r="D122" t="s">
        <v>23</v>
      </c>
      <c r="E122" t="s">
        <v>158</v>
      </c>
      <c r="F122" t="s">
        <v>37</v>
      </c>
      <c r="H122" t="s">
        <v>241</v>
      </c>
      <c r="I122" t="s">
        <v>242</v>
      </c>
      <c r="J122" t="s">
        <v>243</v>
      </c>
      <c r="K122" t="s">
        <v>242</v>
      </c>
      <c r="L122" t="s">
        <v>243</v>
      </c>
      <c r="M122">
        <v>1400</v>
      </c>
      <c r="N122" t="s">
        <v>31</v>
      </c>
      <c r="O122">
        <v>109900</v>
      </c>
      <c r="P122" t="s">
        <v>32</v>
      </c>
      <c r="Q122">
        <v>4</v>
      </c>
      <c r="T122" t="s">
        <v>85</v>
      </c>
      <c r="U122">
        <v>78.5</v>
      </c>
      <c r="V122">
        <v>93.414999999999992</v>
      </c>
    </row>
    <row r="123" spans="1:22" x14ac:dyDescent="0.25">
      <c r="A123">
        <v>1000066007</v>
      </c>
      <c r="B123" t="s">
        <v>106</v>
      </c>
      <c r="C123" t="s">
        <v>157</v>
      </c>
      <c r="D123" t="s">
        <v>23</v>
      </c>
      <c r="E123" t="s">
        <v>158</v>
      </c>
      <c r="F123" t="s">
        <v>37</v>
      </c>
      <c r="H123" t="s">
        <v>241</v>
      </c>
      <c r="I123" t="s">
        <v>44</v>
      </c>
      <c r="J123" t="s">
        <v>244</v>
      </c>
      <c r="K123" t="s">
        <v>44</v>
      </c>
      <c r="L123" t="s">
        <v>244</v>
      </c>
      <c r="M123">
        <v>1400</v>
      </c>
      <c r="N123" t="s">
        <v>31</v>
      </c>
      <c r="O123">
        <v>109900</v>
      </c>
      <c r="P123" t="s">
        <v>32</v>
      </c>
      <c r="Q123">
        <v>4</v>
      </c>
      <c r="T123" t="s">
        <v>69</v>
      </c>
      <c r="U123">
        <v>78.5</v>
      </c>
      <c r="V123">
        <v>93.414999999999992</v>
      </c>
    </row>
    <row r="124" spans="1:22" x14ac:dyDescent="0.25">
      <c r="A124">
        <v>1000066008</v>
      </c>
      <c r="B124" t="s">
        <v>106</v>
      </c>
      <c r="C124" t="s">
        <v>157</v>
      </c>
      <c r="D124" t="s">
        <v>23</v>
      </c>
      <c r="E124" t="s">
        <v>158</v>
      </c>
      <c r="F124" t="s">
        <v>37</v>
      </c>
      <c r="H124" t="s">
        <v>241</v>
      </c>
      <c r="I124" t="s">
        <v>245</v>
      </c>
      <c r="J124" t="s">
        <v>246</v>
      </c>
      <c r="K124" t="s">
        <v>245</v>
      </c>
      <c r="L124" t="s">
        <v>246</v>
      </c>
      <c r="M124">
        <v>1400</v>
      </c>
      <c r="N124" t="s">
        <v>31</v>
      </c>
      <c r="O124">
        <v>109900</v>
      </c>
      <c r="P124" t="s">
        <v>32</v>
      </c>
      <c r="Q124">
        <v>4</v>
      </c>
      <c r="T124" t="s">
        <v>86</v>
      </c>
      <c r="U124">
        <v>78.5</v>
      </c>
      <c r="V124">
        <v>93.414999999999992</v>
      </c>
    </row>
    <row r="125" spans="1:22" x14ac:dyDescent="0.25">
      <c r="A125">
        <v>1000066009</v>
      </c>
      <c r="B125" t="s">
        <v>106</v>
      </c>
      <c r="C125" t="s">
        <v>157</v>
      </c>
      <c r="D125" t="s">
        <v>23</v>
      </c>
      <c r="E125" t="s">
        <v>158</v>
      </c>
      <c r="F125" t="s">
        <v>37</v>
      </c>
      <c r="H125" t="s">
        <v>241</v>
      </c>
      <c r="I125" t="s">
        <v>91</v>
      </c>
      <c r="J125" t="s">
        <v>90</v>
      </c>
      <c r="K125" t="s">
        <v>247</v>
      </c>
      <c r="L125" t="s">
        <v>92</v>
      </c>
      <c r="M125">
        <v>1400</v>
      </c>
      <c r="N125" t="s">
        <v>31</v>
      </c>
      <c r="O125">
        <v>109900</v>
      </c>
      <c r="P125" t="s">
        <v>32</v>
      </c>
      <c r="Q125">
        <v>4</v>
      </c>
      <c r="T125" t="s">
        <v>70</v>
      </c>
      <c r="U125">
        <v>78.5</v>
      </c>
      <c r="V125">
        <v>93.414999999999992</v>
      </c>
    </row>
    <row r="126" spans="1:22" x14ac:dyDescent="0.25">
      <c r="A126">
        <v>1000066010</v>
      </c>
      <c r="B126" t="s">
        <v>106</v>
      </c>
      <c r="C126" t="s">
        <v>157</v>
      </c>
      <c r="D126" t="s">
        <v>23</v>
      </c>
      <c r="E126" t="s">
        <v>158</v>
      </c>
      <c r="F126" t="s">
        <v>37</v>
      </c>
      <c r="H126" t="s">
        <v>241</v>
      </c>
      <c r="I126" t="s">
        <v>248</v>
      </c>
      <c r="J126" t="s">
        <v>249</v>
      </c>
      <c r="K126" t="s">
        <v>248</v>
      </c>
      <c r="L126" t="s">
        <v>249</v>
      </c>
      <c r="M126">
        <v>1400</v>
      </c>
      <c r="N126" t="s">
        <v>31</v>
      </c>
      <c r="O126">
        <v>109900</v>
      </c>
      <c r="P126" t="s">
        <v>32</v>
      </c>
      <c r="Q126">
        <v>4</v>
      </c>
      <c r="T126" t="s">
        <v>97</v>
      </c>
      <c r="U126">
        <v>78.5</v>
      </c>
      <c r="V126">
        <v>93.414999999999992</v>
      </c>
    </row>
    <row r="127" spans="1:22" x14ac:dyDescent="0.25">
      <c r="A127">
        <v>1000066011</v>
      </c>
      <c r="B127" t="s">
        <v>106</v>
      </c>
      <c r="C127" t="s">
        <v>157</v>
      </c>
      <c r="D127" t="s">
        <v>23</v>
      </c>
      <c r="E127" t="s">
        <v>158</v>
      </c>
      <c r="F127" t="s">
        <v>37</v>
      </c>
      <c r="H127" t="s">
        <v>241</v>
      </c>
      <c r="I127" t="s">
        <v>253</v>
      </c>
      <c r="J127" t="s">
        <v>254</v>
      </c>
      <c r="K127" t="s">
        <v>253</v>
      </c>
      <c r="L127" t="s">
        <v>254</v>
      </c>
      <c r="M127">
        <v>1400</v>
      </c>
      <c r="N127" t="s">
        <v>31</v>
      </c>
      <c r="O127">
        <v>109900</v>
      </c>
      <c r="P127" t="s">
        <v>32</v>
      </c>
      <c r="Q127">
        <v>4</v>
      </c>
      <c r="T127" t="s">
        <v>255</v>
      </c>
      <c r="U127">
        <v>78.5</v>
      </c>
      <c r="V127">
        <v>93.414999999999992</v>
      </c>
    </row>
    <row r="128" spans="1:22" x14ac:dyDescent="0.25">
      <c r="A128">
        <v>1000567200</v>
      </c>
      <c r="B128" t="s">
        <v>106</v>
      </c>
      <c r="C128" t="s">
        <v>110</v>
      </c>
      <c r="D128" t="s">
        <v>23</v>
      </c>
      <c r="E128" t="s">
        <v>111</v>
      </c>
      <c r="F128" t="s">
        <v>37</v>
      </c>
      <c r="H128" t="s">
        <v>122</v>
      </c>
      <c r="I128" t="s">
        <v>123</v>
      </c>
      <c r="J128" t="s">
        <v>124</v>
      </c>
      <c r="K128" t="s">
        <v>123</v>
      </c>
      <c r="L128" t="s">
        <v>124</v>
      </c>
      <c r="M128">
        <v>320</v>
      </c>
      <c r="N128" t="s">
        <v>31</v>
      </c>
      <c r="O128">
        <v>960</v>
      </c>
      <c r="P128" t="s">
        <v>32</v>
      </c>
      <c r="Q128">
        <v>1</v>
      </c>
      <c r="T128" t="s">
        <v>256</v>
      </c>
      <c r="U128">
        <v>3</v>
      </c>
      <c r="V128">
        <v>3.57</v>
      </c>
    </row>
    <row r="129" spans="1:22" x14ac:dyDescent="0.25">
      <c r="A129">
        <v>1000567204</v>
      </c>
      <c r="B129" t="s">
        <v>106</v>
      </c>
      <c r="C129" t="s">
        <v>113</v>
      </c>
      <c r="D129" t="s">
        <v>23</v>
      </c>
      <c r="E129" t="s">
        <v>114</v>
      </c>
      <c r="F129" t="s">
        <v>37</v>
      </c>
      <c r="H129" t="s">
        <v>122</v>
      </c>
      <c r="I129" t="s">
        <v>123</v>
      </c>
      <c r="J129" t="s">
        <v>124</v>
      </c>
      <c r="K129" t="s">
        <v>123</v>
      </c>
      <c r="L129" t="s">
        <v>124</v>
      </c>
      <c r="M129">
        <v>124</v>
      </c>
      <c r="N129" t="s">
        <v>31</v>
      </c>
      <c r="O129">
        <v>56420</v>
      </c>
      <c r="P129" t="s">
        <v>32</v>
      </c>
      <c r="Q129">
        <v>1</v>
      </c>
      <c r="T129" t="s">
        <v>257</v>
      </c>
      <c r="U129">
        <v>455</v>
      </c>
      <c r="V129">
        <v>541.44999999999993</v>
      </c>
    </row>
    <row r="130" spans="1:22" x14ac:dyDescent="0.25">
      <c r="A130">
        <v>1000567205</v>
      </c>
      <c r="B130" t="s">
        <v>106</v>
      </c>
      <c r="C130" t="s">
        <v>113</v>
      </c>
      <c r="D130" t="s">
        <v>23</v>
      </c>
      <c r="E130" t="s">
        <v>114</v>
      </c>
      <c r="F130" t="s">
        <v>37</v>
      </c>
      <c r="H130" t="s">
        <v>122</v>
      </c>
      <c r="I130" t="s">
        <v>123</v>
      </c>
      <c r="J130" t="s">
        <v>124</v>
      </c>
      <c r="K130" t="s">
        <v>123</v>
      </c>
      <c r="L130" t="s">
        <v>124</v>
      </c>
      <c r="M130">
        <v>320</v>
      </c>
      <c r="N130" t="s">
        <v>31</v>
      </c>
      <c r="O130">
        <v>145600</v>
      </c>
      <c r="P130" t="s">
        <v>32</v>
      </c>
      <c r="Q130">
        <v>1</v>
      </c>
      <c r="T130" t="s">
        <v>258</v>
      </c>
      <c r="U130">
        <v>455</v>
      </c>
      <c r="V130">
        <v>541.44999999999993</v>
      </c>
    </row>
    <row r="131" spans="1:22" x14ac:dyDescent="0.25">
      <c r="A131">
        <v>1000567207</v>
      </c>
      <c r="B131" t="s">
        <v>106</v>
      </c>
      <c r="C131" t="s">
        <v>117</v>
      </c>
      <c r="D131" t="s">
        <v>23</v>
      </c>
      <c r="E131" t="s">
        <v>118</v>
      </c>
      <c r="F131" t="s">
        <v>37</v>
      </c>
      <c r="H131" t="s">
        <v>122</v>
      </c>
      <c r="I131" t="s">
        <v>123</v>
      </c>
      <c r="J131" t="s">
        <v>124</v>
      </c>
      <c r="K131" t="s">
        <v>123</v>
      </c>
      <c r="L131" t="s">
        <v>124</v>
      </c>
      <c r="M131">
        <v>124</v>
      </c>
      <c r="N131" t="s">
        <v>31</v>
      </c>
      <c r="O131">
        <v>2356</v>
      </c>
      <c r="P131" t="s">
        <v>32</v>
      </c>
      <c r="Q131">
        <v>1</v>
      </c>
      <c r="T131" t="s">
        <v>259</v>
      </c>
      <c r="U131">
        <v>19</v>
      </c>
      <c r="V131">
        <v>22.61</v>
      </c>
    </row>
    <row r="132" spans="1:22" x14ac:dyDescent="0.25">
      <c r="A132">
        <v>1000567209</v>
      </c>
      <c r="B132" t="s">
        <v>106</v>
      </c>
      <c r="C132" t="s">
        <v>110</v>
      </c>
      <c r="D132" t="s">
        <v>23</v>
      </c>
      <c r="E132" t="s">
        <v>111</v>
      </c>
      <c r="F132" t="s">
        <v>37</v>
      </c>
      <c r="H132" t="s">
        <v>122</v>
      </c>
      <c r="I132" t="s">
        <v>123</v>
      </c>
      <c r="J132" t="s">
        <v>124</v>
      </c>
      <c r="K132" t="s">
        <v>123</v>
      </c>
      <c r="L132" t="s">
        <v>124</v>
      </c>
      <c r="M132">
        <v>320</v>
      </c>
      <c r="N132" t="s">
        <v>31</v>
      </c>
      <c r="O132">
        <v>1600</v>
      </c>
      <c r="P132" t="s">
        <v>32</v>
      </c>
      <c r="Q132">
        <v>1</v>
      </c>
      <c r="T132" t="s">
        <v>260</v>
      </c>
      <c r="U132">
        <v>5</v>
      </c>
      <c r="V132">
        <v>5.9499999999999993</v>
      </c>
    </row>
    <row r="133" spans="1:22" x14ac:dyDescent="0.25">
      <c r="A133">
        <v>1000567210</v>
      </c>
      <c r="B133" t="s">
        <v>106</v>
      </c>
      <c r="C133" t="s">
        <v>169</v>
      </c>
      <c r="D133" t="s">
        <v>23</v>
      </c>
      <c r="E133" t="s">
        <v>170</v>
      </c>
      <c r="F133" t="s">
        <v>37</v>
      </c>
      <c r="H133" t="s">
        <v>122</v>
      </c>
      <c r="I133" t="s">
        <v>123</v>
      </c>
      <c r="J133" t="s">
        <v>124</v>
      </c>
      <c r="K133" t="s">
        <v>123</v>
      </c>
      <c r="L133" t="s">
        <v>124</v>
      </c>
      <c r="M133">
        <v>320</v>
      </c>
      <c r="N133" t="s">
        <v>31</v>
      </c>
      <c r="O133">
        <v>316800</v>
      </c>
      <c r="P133" t="s">
        <v>32</v>
      </c>
      <c r="Q133">
        <v>1</v>
      </c>
      <c r="T133" t="s">
        <v>261</v>
      </c>
      <c r="U133">
        <v>990</v>
      </c>
      <c r="V133">
        <v>1178.0999999999999</v>
      </c>
    </row>
    <row r="134" spans="1:22" x14ac:dyDescent="0.25">
      <c r="A134">
        <v>1000567218</v>
      </c>
      <c r="B134" t="s">
        <v>106</v>
      </c>
      <c r="C134" t="s">
        <v>148</v>
      </c>
      <c r="D134" t="s">
        <v>23</v>
      </c>
      <c r="E134" t="s">
        <v>149</v>
      </c>
      <c r="F134" t="s">
        <v>37</v>
      </c>
      <c r="H134" t="s">
        <v>122</v>
      </c>
      <c r="I134" t="s">
        <v>123</v>
      </c>
      <c r="J134" t="s">
        <v>124</v>
      </c>
      <c r="K134" t="s">
        <v>123</v>
      </c>
      <c r="L134" t="s">
        <v>124</v>
      </c>
      <c r="M134">
        <v>124</v>
      </c>
      <c r="N134" t="s">
        <v>31</v>
      </c>
      <c r="O134">
        <v>51088</v>
      </c>
      <c r="P134" t="s">
        <v>32</v>
      </c>
      <c r="Q134">
        <v>1</v>
      </c>
      <c r="T134" t="s">
        <v>262</v>
      </c>
      <c r="U134">
        <v>412</v>
      </c>
      <c r="V134">
        <v>490.28</v>
      </c>
    </row>
    <row r="135" spans="1:22" x14ac:dyDescent="0.25">
      <c r="A135">
        <v>1000567227</v>
      </c>
      <c r="B135" t="s">
        <v>106</v>
      </c>
      <c r="C135" t="s">
        <v>110</v>
      </c>
      <c r="D135" t="s">
        <v>23</v>
      </c>
      <c r="E135" t="s">
        <v>111</v>
      </c>
      <c r="F135" t="s">
        <v>37</v>
      </c>
      <c r="H135" t="s">
        <v>122</v>
      </c>
      <c r="I135" t="s">
        <v>123</v>
      </c>
      <c r="J135" t="s">
        <v>124</v>
      </c>
      <c r="K135" t="s">
        <v>123</v>
      </c>
      <c r="L135" t="s">
        <v>124</v>
      </c>
      <c r="M135">
        <v>320</v>
      </c>
      <c r="N135" t="s">
        <v>31</v>
      </c>
      <c r="O135">
        <v>960</v>
      </c>
      <c r="P135" t="s">
        <v>32</v>
      </c>
      <c r="Q135">
        <v>1</v>
      </c>
      <c r="T135" t="s">
        <v>263</v>
      </c>
      <c r="U135">
        <v>3</v>
      </c>
      <c r="V135">
        <v>3.57</v>
      </c>
    </row>
    <row r="136" spans="1:22" x14ac:dyDescent="0.25">
      <c r="A136">
        <v>1000567228</v>
      </c>
      <c r="B136" t="s">
        <v>106</v>
      </c>
      <c r="C136" t="s">
        <v>126</v>
      </c>
      <c r="D136" t="s">
        <v>23</v>
      </c>
      <c r="E136" t="s">
        <v>127</v>
      </c>
      <c r="F136" t="s">
        <v>37</v>
      </c>
      <c r="H136" t="s">
        <v>122</v>
      </c>
      <c r="I136" t="s">
        <v>123</v>
      </c>
      <c r="J136" t="s">
        <v>124</v>
      </c>
      <c r="K136" t="s">
        <v>123</v>
      </c>
      <c r="L136" t="s">
        <v>124</v>
      </c>
      <c r="M136">
        <v>320</v>
      </c>
      <c r="N136" t="s">
        <v>31</v>
      </c>
      <c r="O136">
        <v>17600</v>
      </c>
      <c r="P136" t="s">
        <v>32</v>
      </c>
      <c r="Q136">
        <v>1</v>
      </c>
      <c r="T136" t="s">
        <v>264</v>
      </c>
      <c r="U136">
        <v>55</v>
      </c>
      <c r="V136">
        <v>65.45</v>
      </c>
    </row>
    <row r="137" spans="1:22" x14ac:dyDescent="0.25">
      <c r="A137">
        <v>1000567230</v>
      </c>
      <c r="B137" t="s">
        <v>106</v>
      </c>
      <c r="C137" t="s">
        <v>135</v>
      </c>
      <c r="D137" t="s">
        <v>23</v>
      </c>
      <c r="E137" t="s">
        <v>136</v>
      </c>
      <c r="F137" t="s">
        <v>37</v>
      </c>
      <c r="H137" t="s">
        <v>122</v>
      </c>
      <c r="I137" t="s">
        <v>123</v>
      </c>
      <c r="J137" t="s">
        <v>124</v>
      </c>
      <c r="K137" t="s">
        <v>265</v>
      </c>
      <c r="L137" t="s">
        <v>71</v>
      </c>
      <c r="M137">
        <v>124</v>
      </c>
      <c r="N137" t="s">
        <v>31</v>
      </c>
      <c r="O137">
        <v>13392</v>
      </c>
      <c r="P137" t="s">
        <v>32</v>
      </c>
      <c r="Q137">
        <v>1</v>
      </c>
      <c r="T137" t="s">
        <v>266</v>
      </c>
      <c r="U137">
        <v>108</v>
      </c>
      <c r="V137">
        <v>128.52000000000001</v>
      </c>
    </row>
    <row r="138" spans="1:22" x14ac:dyDescent="0.25">
      <c r="A138">
        <v>1000567231</v>
      </c>
      <c r="B138" t="s">
        <v>106</v>
      </c>
      <c r="C138" t="s">
        <v>176</v>
      </c>
      <c r="D138" t="s">
        <v>23</v>
      </c>
      <c r="E138" t="s">
        <v>177</v>
      </c>
      <c r="F138" t="s">
        <v>37</v>
      </c>
      <c r="H138" t="s">
        <v>122</v>
      </c>
      <c r="I138" t="s">
        <v>123</v>
      </c>
      <c r="J138" t="s">
        <v>124</v>
      </c>
      <c r="K138" t="s">
        <v>123</v>
      </c>
      <c r="L138" t="s">
        <v>124</v>
      </c>
      <c r="M138">
        <v>320</v>
      </c>
      <c r="N138" t="s">
        <v>31</v>
      </c>
      <c r="O138">
        <v>64960</v>
      </c>
      <c r="P138" t="s">
        <v>32</v>
      </c>
      <c r="Q138">
        <v>1</v>
      </c>
      <c r="T138" t="s">
        <v>267</v>
      </c>
      <c r="U138">
        <v>203</v>
      </c>
      <c r="V138">
        <v>241.57</v>
      </c>
    </row>
    <row r="139" spans="1:22" x14ac:dyDescent="0.25">
      <c r="A139">
        <v>1000567232</v>
      </c>
      <c r="B139" t="s">
        <v>106</v>
      </c>
      <c r="C139" t="s">
        <v>186</v>
      </c>
      <c r="D139" t="s">
        <v>23</v>
      </c>
      <c r="E139" t="s">
        <v>187</v>
      </c>
      <c r="F139" t="s">
        <v>37</v>
      </c>
      <c r="H139" t="s">
        <v>122</v>
      </c>
      <c r="I139" t="s">
        <v>123</v>
      </c>
      <c r="J139" t="s">
        <v>124</v>
      </c>
      <c r="K139" t="s">
        <v>123</v>
      </c>
      <c r="L139" t="s">
        <v>124</v>
      </c>
      <c r="M139">
        <v>124</v>
      </c>
      <c r="N139" t="s">
        <v>31</v>
      </c>
      <c r="O139">
        <v>15128</v>
      </c>
      <c r="P139" t="s">
        <v>32</v>
      </c>
      <c r="Q139">
        <v>1</v>
      </c>
      <c r="T139" t="s">
        <v>268</v>
      </c>
      <c r="U139">
        <v>122</v>
      </c>
      <c r="V139">
        <v>145.18</v>
      </c>
    </row>
    <row r="140" spans="1:22" x14ac:dyDescent="0.25">
      <c r="A140">
        <v>1000567238</v>
      </c>
      <c r="B140" t="s">
        <v>106</v>
      </c>
      <c r="C140" t="s">
        <v>110</v>
      </c>
      <c r="D140" t="s">
        <v>23</v>
      </c>
      <c r="E140" t="s">
        <v>111</v>
      </c>
      <c r="F140" t="s">
        <v>37</v>
      </c>
      <c r="H140" t="s">
        <v>122</v>
      </c>
      <c r="I140" t="s">
        <v>123</v>
      </c>
      <c r="J140" t="s">
        <v>124</v>
      </c>
      <c r="K140" t="s">
        <v>51</v>
      </c>
      <c r="L140" t="s">
        <v>269</v>
      </c>
      <c r="M140">
        <v>124</v>
      </c>
      <c r="N140" t="s">
        <v>31</v>
      </c>
      <c r="O140">
        <v>372</v>
      </c>
      <c r="P140" t="s">
        <v>32</v>
      </c>
      <c r="Q140">
        <v>1</v>
      </c>
      <c r="T140" t="s">
        <v>270</v>
      </c>
      <c r="U140">
        <v>3</v>
      </c>
      <c r="V140">
        <v>3.57</v>
      </c>
    </row>
    <row r="141" spans="1:22" x14ac:dyDescent="0.25">
      <c r="A141">
        <v>1000567242</v>
      </c>
      <c r="B141" t="s">
        <v>106</v>
      </c>
      <c r="C141" t="s">
        <v>271</v>
      </c>
      <c r="D141" t="s">
        <v>23</v>
      </c>
      <c r="E141" t="s">
        <v>272</v>
      </c>
      <c r="F141" t="s">
        <v>37</v>
      </c>
      <c r="H141" t="s">
        <v>122</v>
      </c>
      <c r="I141" t="s">
        <v>123</v>
      </c>
      <c r="J141" t="s">
        <v>124</v>
      </c>
      <c r="K141" t="s">
        <v>123</v>
      </c>
      <c r="L141" t="s">
        <v>124</v>
      </c>
      <c r="M141">
        <v>124</v>
      </c>
      <c r="N141" t="s">
        <v>31</v>
      </c>
      <c r="O141">
        <v>117800</v>
      </c>
      <c r="P141" t="s">
        <v>32</v>
      </c>
      <c r="Q141">
        <v>1</v>
      </c>
      <c r="T141" t="s">
        <v>273</v>
      </c>
      <c r="U141">
        <v>950</v>
      </c>
      <c r="V141">
        <v>1130.5</v>
      </c>
    </row>
    <row r="142" spans="1:22" x14ac:dyDescent="0.25">
      <c r="A142">
        <v>1000567256</v>
      </c>
      <c r="B142" t="s">
        <v>106</v>
      </c>
      <c r="C142" t="s">
        <v>107</v>
      </c>
      <c r="D142" t="s">
        <v>23</v>
      </c>
      <c r="E142" t="s">
        <v>108</v>
      </c>
      <c r="F142" t="s">
        <v>37</v>
      </c>
      <c r="H142" t="s">
        <v>122</v>
      </c>
      <c r="I142" t="s">
        <v>123</v>
      </c>
      <c r="J142" t="s">
        <v>124</v>
      </c>
      <c r="K142" t="s">
        <v>123</v>
      </c>
      <c r="L142" t="s">
        <v>124</v>
      </c>
      <c r="M142">
        <v>320</v>
      </c>
      <c r="N142" t="s">
        <v>31</v>
      </c>
      <c r="O142">
        <v>1769600</v>
      </c>
      <c r="P142" t="s">
        <v>32</v>
      </c>
      <c r="Q142">
        <v>1</v>
      </c>
      <c r="T142" t="s">
        <v>274</v>
      </c>
      <c r="U142">
        <v>5530</v>
      </c>
      <c r="V142">
        <v>6580.7</v>
      </c>
    </row>
    <row r="143" spans="1:22" x14ac:dyDescent="0.25">
      <c r="A143">
        <v>1000567257</v>
      </c>
      <c r="B143" t="s">
        <v>106</v>
      </c>
      <c r="C143" t="s">
        <v>107</v>
      </c>
      <c r="D143" t="s">
        <v>23</v>
      </c>
      <c r="E143" t="s">
        <v>108</v>
      </c>
      <c r="F143" t="s">
        <v>37</v>
      </c>
      <c r="H143" t="s">
        <v>122</v>
      </c>
      <c r="I143" t="s">
        <v>123</v>
      </c>
      <c r="J143" t="s">
        <v>124</v>
      </c>
      <c r="K143" t="s">
        <v>123</v>
      </c>
      <c r="L143" t="s">
        <v>124</v>
      </c>
      <c r="M143">
        <v>124</v>
      </c>
      <c r="N143" t="s">
        <v>31</v>
      </c>
      <c r="O143">
        <v>569408</v>
      </c>
      <c r="P143" t="s">
        <v>32</v>
      </c>
      <c r="Q143">
        <v>1</v>
      </c>
      <c r="T143" t="s">
        <v>275</v>
      </c>
      <c r="U143">
        <v>4592</v>
      </c>
      <c r="V143">
        <v>5464.48</v>
      </c>
    </row>
    <row r="144" spans="1:22" x14ac:dyDescent="0.25">
      <c r="A144">
        <v>1000567259</v>
      </c>
      <c r="B144" t="s">
        <v>106</v>
      </c>
      <c r="C144" t="s">
        <v>210</v>
      </c>
      <c r="D144" t="s">
        <v>23</v>
      </c>
      <c r="E144" t="s">
        <v>211</v>
      </c>
      <c r="F144" t="s">
        <v>37</v>
      </c>
      <c r="H144" t="s">
        <v>122</v>
      </c>
      <c r="I144" t="s">
        <v>123</v>
      </c>
      <c r="J144" t="s">
        <v>124</v>
      </c>
      <c r="K144" t="s">
        <v>123</v>
      </c>
      <c r="L144" t="s">
        <v>124</v>
      </c>
      <c r="M144">
        <v>320</v>
      </c>
      <c r="N144" t="s">
        <v>31</v>
      </c>
      <c r="O144">
        <v>60480</v>
      </c>
      <c r="P144" t="s">
        <v>32</v>
      </c>
      <c r="Q144">
        <v>1</v>
      </c>
      <c r="T144" t="s">
        <v>276</v>
      </c>
      <c r="U144">
        <v>189</v>
      </c>
      <c r="V144">
        <v>224.91</v>
      </c>
    </row>
    <row r="145" spans="1:22" x14ac:dyDescent="0.25">
      <c r="A145">
        <v>1000567261</v>
      </c>
      <c r="B145" t="s">
        <v>106</v>
      </c>
      <c r="C145" t="s">
        <v>113</v>
      </c>
      <c r="D145" t="s">
        <v>23</v>
      </c>
      <c r="E145" t="s">
        <v>114</v>
      </c>
      <c r="F145" t="s">
        <v>37</v>
      </c>
      <c r="H145" t="s">
        <v>122</v>
      </c>
      <c r="I145" t="s">
        <v>123</v>
      </c>
      <c r="J145" t="s">
        <v>124</v>
      </c>
      <c r="K145" t="s">
        <v>123</v>
      </c>
      <c r="L145" t="s">
        <v>124</v>
      </c>
      <c r="M145">
        <v>320</v>
      </c>
      <c r="N145" t="s">
        <v>31</v>
      </c>
      <c r="O145">
        <v>145600</v>
      </c>
      <c r="P145" t="s">
        <v>32</v>
      </c>
      <c r="Q145">
        <v>1</v>
      </c>
      <c r="T145" t="s">
        <v>277</v>
      </c>
      <c r="U145">
        <v>455</v>
      </c>
      <c r="V145">
        <v>541.44999999999993</v>
      </c>
    </row>
    <row r="146" spans="1:22" x14ac:dyDescent="0.25">
      <c r="A146">
        <v>1000567266</v>
      </c>
      <c r="B146" t="s">
        <v>106</v>
      </c>
      <c r="C146" t="s">
        <v>157</v>
      </c>
      <c r="D146" t="s">
        <v>23</v>
      </c>
      <c r="E146" t="s">
        <v>158</v>
      </c>
      <c r="F146" t="s">
        <v>37</v>
      </c>
      <c r="H146" t="s">
        <v>122</v>
      </c>
      <c r="I146" t="s">
        <v>123</v>
      </c>
      <c r="J146" t="s">
        <v>124</v>
      </c>
      <c r="K146" t="s">
        <v>221</v>
      </c>
      <c r="L146" t="s">
        <v>151</v>
      </c>
      <c r="M146">
        <v>320</v>
      </c>
      <c r="N146" t="s">
        <v>31</v>
      </c>
      <c r="O146">
        <v>16000</v>
      </c>
      <c r="P146" t="s">
        <v>32</v>
      </c>
      <c r="Q146">
        <v>1</v>
      </c>
      <c r="T146" t="s">
        <v>278</v>
      </c>
      <c r="U146">
        <v>50</v>
      </c>
      <c r="V146">
        <v>59.5</v>
      </c>
    </row>
    <row r="147" spans="1:22" x14ac:dyDescent="0.25">
      <c r="A147">
        <v>1000567274</v>
      </c>
      <c r="B147" t="s">
        <v>106</v>
      </c>
      <c r="C147" t="s">
        <v>176</v>
      </c>
      <c r="D147" t="s">
        <v>23</v>
      </c>
      <c r="E147" t="s">
        <v>177</v>
      </c>
      <c r="F147" t="s">
        <v>37</v>
      </c>
      <c r="H147" t="s">
        <v>122</v>
      </c>
      <c r="I147" t="s">
        <v>123</v>
      </c>
      <c r="J147" t="s">
        <v>124</v>
      </c>
      <c r="K147" t="s">
        <v>123</v>
      </c>
      <c r="L147" t="s">
        <v>124</v>
      </c>
      <c r="M147">
        <v>320</v>
      </c>
      <c r="N147" t="s">
        <v>31</v>
      </c>
      <c r="O147">
        <v>64960</v>
      </c>
      <c r="P147" t="s">
        <v>32</v>
      </c>
      <c r="Q147">
        <v>1</v>
      </c>
      <c r="T147" t="s">
        <v>279</v>
      </c>
      <c r="U147">
        <v>203</v>
      </c>
      <c r="V147">
        <v>241.57</v>
      </c>
    </row>
    <row r="148" spans="1:22" x14ac:dyDescent="0.25">
      <c r="A148">
        <v>1000567276</v>
      </c>
      <c r="B148" t="s">
        <v>106</v>
      </c>
      <c r="C148" t="s">
        <v>107</v>
      </c>
      <c r="D148" t="s">
        <v>23</v>
      </c>
      <c r="E148" t="s">
        <v>108</v>
      </c>
      <c r="F148" t="s">
        <v>37</v>
      </c>
      <c r="H148" t="s">
        <v>122</v>
      </c>
      <c r="I148" t="s">
        <v>123</v>
      </c>
      <c r="J148" t="s">
        <v>124</v>
      </c>
      <c r="K148" t="s">
        <v>123</v>
      </c>
      <c r="L148" t="s">
        <v>124</v>
      </c>
      <c r="M148">
        <v>320</v>
      </c>
      <c r="N148" t="s">
        <v>31</v>
      </c>
      <c r="O148">
        <v>1769600</v>
      </c>
      <c r="P148" t="s">
        <v>32</v>
      </c>
      <c r="Q148">
        <v>1</v>
      </c>
      <c r="T148" t="s">
        <v>280</v>
      </c>
      <c r="U148">
        <v>5530</v>
      </c>
      <c r="V148">
        <v>6580.7</v>
      </c>
    </row>
    <row r="149" spans="1:22" x14ac:dyDescent="0.25">
      <c r="A149">
        <v>1000567278</v>
      </c>
      <c r="B149" t="s">
        <v>106</v>
      </c>
      <c r="C149" t="s">
        <v>138</v>
      </c>
      <c r="D149" t="s">
        <v>23</v>
      </c>
      <c r="E149" t="s">
        <v>139</v>
      </c>
      <c r="F149" t="s">
        <v>37</v>
      </c>
      <c r="H149" t="s">
        <v>122</v>
      </c>
      <c r="I149" t="s">
        <v>123</v>
      </c>
      <c r="J149" t="s">
        <v>124</v>
      </c>
      <c r="K149" t="s">
        <v>123</v>
      </c>
      <c r="L149" t="s">
        <v>124</v>
      </c>
      <c r="M149">
        <v>320</v>
      </c>
      <c r="N149" t="s">
        <v>31</v>
      </c>
      <c r="O149">
        <v>411840</v>
      </c>
      <c r="P149" t="s">
        <v>32</v>
      </c>
      <c r="Q149">
        <v>1</v>
      </c>
      <c r="T149" t="s">
        <v>281</v>
      </c>
      <c r="U149">
        <v>1287</v>
      </c>
      <c r="V149">
        <v>1531.53</v>
      </c>
    </row>
    <row r="150" spans="1:22" x14ac:dyDescent="0.25">
      <c r="A150">
        <v>1000567279</v>
      </c>
      <c r="B150" t="s">
        <v>106</v>
      </c>
      <c r="C150" t="s">
        <v>110</v>
      </c>
      <c r="D150" t="s">
        <v>23</v>
      </c>
      <c r="E150" t="s">
        <v>111</v>
      </c>
      <c r="F150" t="s">
        <v>37</v>
      </c>
      <c r="H150" t="s">
        <v>122</v>
      </c>
      <c r="I150" t="s">
        <v>123</v>
      </c>
      <c r="J150" t="s">
        <v>124</v>
      </c>
      <c r="K150" t="s">
        <v>123</v>
      </c>
      <c r="L150" t="s">
        <v>124</v>
      </c>
      <c r="M150">
        <v>124</v>
      </c>
      <c r="N150" t="s">
        <v>31</v>
      </c>
      <c r="O150">
        <v>372</v>
      </c>
      <c r="P150" t="s">
        <v>32</v>
      </c>
      <c r="Q150">
        <v>1</v>
      </c>
      <c r="T150" t="s">
        <v>282</v>
      </c>
      <c r="U150">
        <v>3</v>
      </c>
      <c r="V150">
        <v>3.57</v>
      </c>
    </row>
    <row r="151" spans="1:22" x14ac:dyDescent="0.25">
      <c r="A151">
        <v>1000567283</v>
      </c>
      <c r="B151" t="s">
        <v>106</v>
      </c>
      <c r="C151" t="s">
        <v>186</v>
      </c>
      <c r="D151" t="s">
        <v>23</v>
      </c>
      <c r="E151" t="s">
        <v>187</v>
      </c>
      <c r="F151" t="s">
        <v>37</v>
      </c>
      <c r="H151" t="s">
        <v>122</v>
      </c>
      <c r="I151" t="s">
        <v>123</v>
      </c>
      <c r="J151" t="s">
        <v>124</v>
      </c>
      <c r="K151" t="s">
        <v>124</v>
      </c>
      <c r="L151" t="s">
        <v>241</v>
      </c>
      <c r="M151">
        <v>320</v>
      </c>
      <c r="N151" t="s">
        <v>31</v>
      </c>
      <c r="O151">
        <v>39040</v>
      </c>
      <c r="P151" t="s">
        <v>32</v>
      </c>
      <c r="Q151">
        <v>1</v>
      </c>
      <c r="T151" t="s">
        <v>283</v>
      </c>
      <c r="U151">
        <v>122</v>
      </c>
      <c r="V151">
        <v>145.18</v>
      </c>
    </row>
    <row r="152" spans="1:22" x14ac:dyDescent="0.25">
      <c r="A152">
        <v>1000567291</v>
      </c>
      <c r="B152" t="s">
        <v>106</v>
      </c>
      <c r="C152" t="s">
        <v>157</v>
      </c>
      <c r="D152" t="s">
        <v>23</v>
      </c>
      <c r="E152" t="s">
        <v>158</v>
      </c>
      <c r="F152" t="s">
        <v>37</v>
      </c>
      <c r="H152" t="s">
        <v>122</v>
      </c>
      <c r="I152" t="s">
        <v>123</v>
      </c>
      <c r="J152" t="s">
        <v>124</v>
      </c>
      <c r="K152" t="s">
        <v>123</v>
      </c>
      <c r="L152" t="s">
        <v>124</v>
      </c>
      <c r="M152">
        <v>320</v>
      </c>
      <c r="N152" t="s">
        <v>31</v>
      </c>
      <c r="O152">
        <v>16000</v>
      </c>
      <c r="P152" t="s">
        <v>32</v>
      </c>
      <c r="Q152">
        <v>1</v>
      </c>
      <c r="T152" t="s">
        <v>284</v>
      </c>
      <c r="U152">
        <v>50</v>
      </c>
      <c r="V152">
        <v>59.5</v>
      </c>
    </row>
    <row r="153" spans="1:22" x14ac:dyDescent="0.25">
      <c r="A153">
        <v>1000567292</v>
      </c>
      <c r="B153" t="s">
        <v>106</v>
      </c>
      <c r="C153" t="s">
        <v>196</v>
      </c>
      <c r="D153" t="s">
        <v>23</v>
      </c>
      <c r="E153" t="s">
        <v>197</v>
      </c>
      <c r="F153" t="s">
        <v>37</v>
      </c>
      <c r="H153" t="s">
        <v>122</v>
      </c>
      <c r="I153" t="s">
        <v>123</v>
      </c>
      <c r="J153" t="s">
        <v>124</v>
      </c>
      <c r="K153" t="s">
        <v>123</v>
      </c>
      <c r="L153" t="s">
        <v>124</v>
      </c>
      <c r="M153">
        <v>320</v>
      </c>
      <c r="N153" t="s">
        <v>31</v>
      </c>
      <c r="O153">
        <v>312320</v>
      </c>
      <c r="P153" t="s">
        <v>32</v>
      </c>
      <c r="Q153">
        <v>1</v>
      </c>
      <c r="T153" t="s">
        <v>285</v>
      </c>
      <c r="U153">
        <v>976</v>
      </c>
      <c r="V153">
        <v>1161.44</v>
      </c>
    </row>
    <row r="154" spans="1:22" x14ac:dyDescent="0.25">
      <c r="A154">
        <v>1000567295</v>
      </c>
      <c r="B154" t="s">
        <v>106</v>
      </c>
      <c r="C154" t="s">
        <v>160</v>
      </c>
      <c r="D154" t="s">
        <v>23</v>
      </c>
      <c r="E154" t="s">
        <v>161</v>
      </c>
      <c r="F154" t="s">
        <v>37</v>
      </c>
      <c r="H154" t="s">
        <v>122</v>
      </c>
      <c r="I154" t="s">
        <v>123</v>
      </c>
      <c r="J154" t="s">
        <v>124</v>
      </c>
      <c r="K154" t="s">
        <v>123</v>
      </c>
      <c r="L154" t="s">
        <v>124</v>
      </c>
      <c r="M154">
        <v>320</v>
      </c>
      <c r="N154" t="s">
        <v>31</v>
      </c>
      <c r="O154">
        <v>7680</v>
      </c>
      <c r="P154" t="s">
        <v>32</v>
      </c>
      <c r="Q154">
        <v>1</v>
      </c>
      <c r="T154" t="s">
        <v>286</v>
      </c>
      <c r="U154">
        <v>24</v>
      </c>
      <c r="V154">
        <v>28.56</v>
      </c>
    </row>
    <row r="155" spans="1:22" x14ac:dyDescent="0.25">
      <c r="A155">
        <v>1000567296</v>
      </c>
      <c r="B155" t="s">
        <v>106</v>
      </c>
      <c r="C155" t="s">
        <v>120</v>
      </c>
      <c r="D155" t="s">
        <v>23</v>
      </c>
      <c r="E155" t="s">
        <v>121</v>
      </c>
      <c r="F155" t="s">
        <v>37</v>
      </c>
      <c r="H155" t="s">
        <v>122</v>
      </c>
      <c r="I155" t="s">
        <v>123</v>
      </c>
      <c r="J155" t="s">
        <v>124</v>
      </c>
      <c r="K155" t="s">
        <v>123</v>
      </c>
      <c r="L155" t="s">
        <v>124</v>
      </c>
      <c r="M155">
        <v>124</v>
      </c>
      <c r="N155" t="s">
        <v>31</v>
      </c>
      <c r="O155">
        <v>6820</v>
      </c>
      <c r="P155" t="s">
        <v>32</v>
      </c>
      <c r="Q155">
        <v>1</v>
      </c>
      <c r="T155" t="s">
        <v>287</v>
      </c>
      <c r="U155">
        <v>55</v>
      </c>
      <c r="V155">
        <v>65.45</v>
      </c>
    </row>
    <row r="156" spans="1:22" x14ac:dyDescent="0.25">
      <c r="A156">
        <v>1000567308</v>
      </c>
      <c r="B156" t="s">
        <v>106</v>
      </c>
      <c r="C156" t="s">
        <v>110</v>
      </c>
      <c r="D156" t="s">
        <v>23</v>
      </c>
      <c r="E156" t="s">
        <v>111</v>
      </c>
      <c r="F156" t="s">
        <v>37</v>
      </c>
      <c r="H156" t="s">
        <v>122</v>
      </c>
      <c r="I156" t="s">
        <v>123</v>
      </c>
      <c r="J156" t="s">
        <v>124</v>
      </c>
      <c r="K156" t="s">
        <v>123</v>
      </c>
      <c r="L156" t="s">
        <v>124</v>
      </c>
      <c r="M156">
        <v>124</v>
      </c>
      <c r="N156" t="s">
        <v>31</v>
      </c>
      <c r="O156">
        <v>372</v>
      </c>
      <c r="P156" t="s">
        <v>32</v>
      </c>
      <c r="Q156">
        <v>1</v>
      </c>
      <c r="T156" t="s">
        <v>288</v>
      </c>
      <c r="U156">
        <v>3</v>
      </c>
      <c r="V156">
        <v>3.57</v>
      </c>
    </row>
    <row r="157" spans="1:22" x14ac:dyDescent="0.25">
      <c r="A157">
        <v>1000567312</v>
      </c>
      <c r="B157" t="s">
        <v>106</v>
      </c>
      <c r="C157" t="s">
        <v>117</v>
      </c>
      <c r="D157" t="s">
        <v>23</v>
      </c>
      <c r="E157" t="s">
        <v>118</v>
      </c>
      <c r="F157" t="s">
        <v>37</v>
      </c>
      <c r="H157" t="s">
        <v>122</v>
      </c>
      <c r="I157" t="s">
        <v>123</v>
      </c>
      <c r="J157" t="s">
        <v>124</v>
      </c>
      <c r="K157" t="s">
        <v>123</v>
      </c>
      <c r="L157" t="s">
        <v>124</v>
      </c>
      <c r="M157">
        <v>124</v>
      </c>
      <c r="N157" t="s">
        <v>31</v>
      </c>
      <c r="O157">
        <v>2356</v>
      </c>
      <c r="P157" t="s">
        <v>32</v>
      </c>
      <c r="Q157">
        <v>1</v>
      </c>
      <c r="T157" t="s">
        <v>289</v>
      </c>
      <c r="U157">
        <v>19</v>
      </c>
      <c r="V157">
        <v>22.61</v>
      </c>
    </row>
    <row r="158" spans="1:22" x14ac:dyDescent="0.25">
      <c r="A158">
        <v>1000567314</v>
      </c>
      <c r="B158" t="s">
        <v>106</v>
      </c>
      <c r="C158" t="s">
        <v>196</v>
      </c>
      <c r="D158" t="s">
        <v>23</v>
      </c>
      <c r="E158" t="s">
        <v>197</v>
      </c>
      <c r="F158" t="s">
        <v>37</v>
      </c>
      <c r="H158" t="s">
        <v>122</v>
      </c>
      <c r="I158" t="s">
        <v>123</v>
      </c>
      <c r="J158" t="s">
        <v>124</v>
      </c>
      <c r="K158" t="s">
        <v>123</v>
      </c>
      <c r="L158" t="s">
        <v>124</v>
      </c>
      <c r="M158">
        <v>124</v>
      </c>
      <c r="N158" t="s">
        <v>31</v>
      </c>
      <c r="O158">
        <v>121024</v>
      </c>
      <c r="P158" t="s">
        <v>32</v>
      </c>
      <c r="Q158">
        <v>1</v>
      </c>
      <c r="T158" t="s">
        <v>290</v>
      </c>
      <c r="U158">
        <v>976</v>
      </c>
      <c r="V158">
        <v>1161.44</v>
      </c>
    </row>
    <row r="159" spans="1:22" x14ac:dyDescent="0.25">
      <c r="A159">
        <v>1000567315</v>
      </c>
      <c r="B159" t="s">
        <v>106</v>
      </c>
      <c r="C159" t="s">
        <v>135</v>
      </c>
      <c r="D159" t="s">
        <v>23</v>
      </c>
      <c r="E159" t="s">
        <v>136</v>
      </c>
      <c r="F159" t="s">
        <v>37</v>
      </c>
      <c r="H159" t="s">
        <v>122</v>
      </c>
      <c r="I159" t="s">
        <v>123</v>
      </c>
      <c r="J159" t="s">
        <v>124</v>
      </c>
      <c r="K159" t="s">
        <v>123</v>
      </c>
      <c r="L159" t="s">
        <v>124</v>
      </c>
      <c r="M159">
        <v>320</v>
      </c>
      <c r="N159" t="s">
        <v>31</v>
      </c>
      <c r="O159">
        <v>34560</v>
      </c>
      <c r="P159" t="s">
        <v>32</v>
      </c>
      <c r="Q159">
        <v>1</v>
      </c>
      <c r="T159" t="s">
        <v>291</v>
      </c>
      <c r="U159">
        <v>108</v>
      </c>
      <c r="V159">
        <v>128.52000000000001</v>
      </c>
    </row>
    <row r="160" spans="1:22" x14ac:dyDescent="0.25">
      <c r="A160">
        <v>1000567319</v>
      </c>
      <c r="B160" t="s">
        <v>106</v>
      </c>
      <c r="C160" t="s">
        <v>186</v>
      </c>
      <c r="D160" t="s">
        <v>23</v>
      </c>
      <c r="E160" t="s">
        <v>187</v>
      </c>
      <c r="F160" t="s">
        <v>37</v>
      </c>
      <c r="H160" t="s">
        <v>122</v>
      </c>
      <c r="I160" t="s">
        <v>123</v>
      </c>
      <c r="J160" t="s">
        <v>124</v>
      </c>
      <c r="K160" t="s">
        <v>123</v>
      </c>
      <c r="L160" t="s">
        <v>124</v>
      </c>
      <c r="M160">
        <v>320</v>
      </c>
      <c r="N160" t="s">
        <v>31</v>
      </c>
      <c r="O160">
        <v>39040</v>
      </c>
      <c r="P160" t="s">
        <v>32</v>
      </c>
      <c r="Q160">
        <v>1</v>
      </c>
      <c r="T160" t="s">
        <v>292</v>
      </c>
      <c r="U160">
        <v>122</v>
      </c>
      <c r="V160">
        <v>145.18</v>
      </c>
    </row>
    <row r="161" spans="1:22" x14ac:dyDescent="0.25">
      <c r="A161">
        <v>1000567321</v>
      </c>
      <c r="B161" t="s">
        <v>106</v>
      </c>
      <c r="C161" t="s">
        <v>138</v>
      </c>
      <c r="D161" t="s">
        <v>23</v>
      </c>
      <c r="E161" t="s">
        <v>139</v>
      </c>
      <c r="F161" t="s">
        <v>37</v>
      </c>
      <c r="H161" t="s">
        <v>122</v>
      </c>
      <c r="I161" t="s">
        <v>123</v>
      </c>
      <c r="J161" t="s">
        <v>124</v>
      </c>
      <c r="K161" t="s">
        <v>123</v>
      </c>
      <c r="L161" t="s">
        <v>124</v>
      </c>
      <c r="M161">
        <v>320</v>
      </c>
      <c r="N161" t="s">
        <v>31</v>
      </c>
      <c r="O161">
        <v>411840</v>
      </c>
      <c r="P161" t="s">
        <v>32</v>
      </c>
      <c r="Q161">
        <v>1</v>
      </c>
      <c r="T161" t="s">
        <v>293</v>
      </c>
      <c r="U161">
        <v>1287</v>
      </c>
      <c r="V161">
        <v>1531.53</v>
      </c>
    </row>
    <row r="162" spans="1:22" x14ac:dyDescent="0.25">
      <c r="A162">
        <v>1000567327</v>
      </c>
      <c r="B162" t="s">
        <v>106</v>
      </c>
      <c r="C162" t="s">
        <v>148</v>
      </c>
      <c r="D162" t="s">
        <v>23</v>
      </c>
      <c r="E162" t="s">
        <v>149</v>
      </c>
      <c r="F162" t="s">
        <v>37</v>
      </c>
      <c r="H162" t="s">
        <v>122</v>
      </c>
      <c r="I162" t="s">
        <v>123</v>
      </c>
      <c r="J162" t="s">
        <v>124</v>
      </c>
      <c r="K162" t="s">
        <v>123</v>
      </c>
      <c r="L162" t="s">
        <v>124</v>
      </c>
      <c r="M162">
        <v>320</v>
      </c>
      <c r="N162" t="s">
        <v>31</v>
      </c>
      <c r="O162">
        <v>135040</v>
      </c>
      <c r="P162" t="s">
        <v>32</v>
      </c>
      <c r="Q162">
        <v>1</v>
      </c>
      <c r="T162" t="s">
        <v>294</v>
      </c>
      <c r="U162">
        <v>422</v>
      </c>
      <c r="V162">
        <v>502.17999999999989</v>
      </c>
    </row>
    <row r="163" spans="1:22" x14ac:dyDescent="0.25">
      <c r="A163">
        <v>1000567336</v>
      </c>
      <c r="B163" t="s">
        <v>106</v>
      </c>
      <c r="C163" t="s">
        <v>169</v>
      </c>
      <c r="D163" t="s">
        <v>23</v>
      </c>
      <c r="E163" t="s">
        <v>170</v>
      </c>
      <c r="F163" t="s">
        <v>37</v>
      </c>
      <c r="H163" t="s">
        <v>122</v>
      </c>
      <c r="I163" t="s">
        <v>123</v>
      </c>
      <c r="J163" t="s">
        <v>124</v>
      </c>
      <c r="K163" t="s">
        <v>123</v>
      </c>
      <c r="L163" t="s">
        <v>124</v>
      </c>
      <c r="M163">
        <v>124</v>
      </c>
      <c r="N163" t="s">
        <v>31</v>
      </c>
      <c r="O163">
        <v>180048</v>
      </c>
      <c r="P163" t="s">
        <v>32</v>
      </c>
      <c r="Q163">
        <v>1</v>
      </c>
      <c r="T163" t="s">
        <v>295</v>
      </c>
      <c r="U163">
        <v>1452</v>
      </c>
      <c r="V163">
        <v>1727.88</v>
      </c>
    </row>
    <row r="164" spans="1:22" x14ac:dyDescent="0.25">
      <c r="A164">
        <v>1000567346</v>
      </c>
      <c r="B164" t="s">
        <v>106</v>
      </c>
      <c r="C164" t="s">
        <v>110</v>
      </c>
      <c r="D164" t="s">
        <v>23</v>
      </c>
      <c r="E164" t="s">
        <v>111</v>
      </c>
      <c r="F164" t="s">
        <v>37</v>
      </c>
      <c r="H164" t="s">
        <v>122</v>
      </c>
      <c r="I164" t="s">
        <v>123</v>
      </c>
      <c r="J164" t="s">
        <v>124</v>
      </c>
      <c r="K164" t="s">
        <v>123</v>
      </c>
      <c r="L164" t="s">
        <v>124</v>
      </c>
      <c r="M164">
        <v>320</v>
      </c>
      <c r="N164" t="s">
        <v>31</v>
      </c>
      <c r="O164">
        <v>960</v>
      </c>
      <c r="P164" t="s">
        <v>32</v>
      </c>
      <c r="Q164">
        <v>1</v>
      </c>
      <c r="T164" t="s">
        <v>296</v>
      </c>
      <c r="U164">
        <v>3</v>
      </c>
      <c r="V164">
        <v>3.57</v>
      </c>
    </row>
    <row r="165" spans="1:22" x14ac:dyDescent="0.25">
      <c r="A165">
        <v>1000567351</v>
      </c>
      <c r="B165" t="s">
        <v>106</v>
      </c>
      <c r="C165" t="s">
        <v>196</v>
      </c>
      <c r="D165" t="s">
        <v>23</v>
      </c>
      <c r="E165" t="s">
        <v>197</v>
      </c>
      <c r="F165" t="s">
        <v>37</v>
      </c>
      <c r="H165" t="s">
        <v>122</v>
      </c>
      <c r="I165" t="s">
        <v>123</v>
      </c>
      <c r="J165" t="s">
        <v>124</v>
      </c>
      <c r="K165" t="s">
        <v>123</v>
      </c>
      <c r="L165" t="s">
        <v>124</v>
      </c>
      <c r="M165">
        <v>124</v>
      </c>
      <c r="N165" t="s">
        <v>31</v>
      </c>
      <c r="O165">
        <v>121024</v>
      </c>
      <c r="P165" t="s">
        <v>32</v>
      </c>
      <c r="Q165">
        <v>1</v>
      </c>
      <c r="T165" t="s">
        <v>297</v>
      </c>
      <c r="U165">
        <v>976</v>
      </c>
      <c r="V165">
        <v>1161.44</v>
      </c>
    </row>
    <row r="166" spans="1:22" x14ac:dyDescent="0.25">
      <c r="A166">
        <v>1000567364</v>
      </c>
      <c r="B166" t="s">
        <v>106</v>
      </c>
      <c r="C166" t="s">
        <v>148</v>
      </c>
      <c r="D166" t="s">
        <v>23</v>
      </c>
      <c r="E166" t="s">
        <v>149</v>
      </c>
      <c r="F166" t="s">
        <v>37</v>
      </c>
      <c r="H166" t="s">
        <v>122</v>
      </c>
      <c r="I166" t="s">
        <v>123</v>
      </c>
      <c r="J166" t="s">
        <v>124</v>
      </c>
      <c r="K166" t="s">
        <v>123</v>
      </c>
      <c r="L166" t="s">
        <v>124</v>
      </c>
      <c r="M166">
        <v>320</v>
      </c>
      <c r="N166" t="s">
        <v>31</v>
      </c>
      <c r="O166">
        <v>135040</v>
      </c>
      <c r="P166" t="s">
        <v>32</v>
      </c>
      <c r="Q166">
        <v>1</v>
      </c>
      <c r="T166" t="s">
        <v>298</v>
      </c>
      <c r="U166">
        <v>422</v>
      </c>
      <c r="V166">
        <v>502.17999999999989</v>
      </c>
    </row>
    <row r="167" spans="1:22" x14ac:dyDescent="0.25">
      <c r="A167">
        <v>1000567374</v>
      </c>
      <c r="B167" t="s">
        <v>106</v>
      </c>
      <c r="C167" t="s">
        <v>117</v>
      </c>
      <c r="D167" t="s">
        <v>23</v>
      </c>
      <c r="E167" t="s">
        <v>118</v>
      </c>
      <c r="F167" t="s">
        <v>37</v>
      </c>
      <c r="H167" t="s">
        <v>122</v>
      </c>
      <c r="I167" t="s">
        <v>123</v>
      </c>
      <c r="J167" t="s">
        <v>124</v>
      </c>
      <c r="K167" t="s">
        <v>123</v>
      </c>
      <c r="L167" t="s">
        <v>124</v>
      </c>
      <c r="M167">
        <v>320</v>
      </c>
      <c r="N167" t="s">
        <v>31</v>
      </c>
      <c r="O167">
        <v>6080</v>
      </c>
      <c r="P167" t="s">
        <v>32</v>
      </c>
      <c r="Q167">
        <v>1</v>
      </c>
      <c r="T167" t="s">
        <v>299</v>
      </c>
      <c r="U167">
        <v>19</v>
      </c>
      <c r="V167">
        <v>22.61</v>
      </c>
    </row>
    <row r="168" spans="1:22" x14ac:dyDescent="0.25">
      <c r="A168">
        <v>1000567376</v>
      </c>
      <c r="B168" t="s">
        <v>106</v>
      </c>
      <c r="C168" t="s">
        <v>141</v>
      </c>
      <c r="D168" t="s">
        <v>23</v>
      </c>
      <c r="E168" t="s">
        <v>142</v>
      </c>
      <c r="F168" t="s">
        <v>37</v>
      </c>
      <c r="H168" t="s">
        <v>122</v>
      </c>
      <c r="I168" t="s">
        <v>123</v>
      </c>
      <c r="J168" t="s">
        <v>124</v>
      </c>
      <c r="K168" t="s">
        <v>123</v>
      </c>
      <c r="L168" t="s">
        <v>124</v>
      </c>
      <c r="M168">
        <v>320</v>
      </c>
      <c r="N168" t="s">
        <v>31</v>
      </c>
      <c r="O168">
        <v>112000</v>
      </c>
      <c r="P168" t="s">
        <v>32</v>
      </c>
      <c r="Q168">
        <v>1</v>
      </c>
      <c r="T168" t="s">
        <v>300</v>
      </c>
      <c r="U168">
        <v>350</v>
      </c>
      <c r="V168">
        <v>416.5</v>
      </c>
    </row>
    <row r="169" spans="1:22" x14ac:dyDescent="0.25">
      <c r="A169">
        <v>1000567378</v>
      </c>
      <c r="B169" t="s">
        <v>106</v>
      </c>
      <c r="C169" t="s">
        <v>110</v>
      </c>
      <c r="D169" t="s">
        <v>23</v>
      </c>
      <c r="E169" t="s">
        <v>111</v>
      </c>
      <c r="F169" t="s">
        <v>37</v>
      </c>
      <c r="H169" t="s">
        <v>122</v>
      </c>
      <c r="I169" t="s">
        <v>123</v>
      </c>
      <c r="J169" t="s">
        <v>124</v>
      </c>
      <c r="K169" t="s">
        <v>123</v>
      </c>
      <c r="L169" t="s">
        <v>124</v>
      </c>
      <c r="M169">
        <v>124</v>
      </c>
      <c r="N169" t="s">
        <v>31</v>
      </c>
      <c r="O169">
        <v>620</v>
      </c>
      <c r="P169" t="s">
        <v>32</v>
      </c>
      <c r="Q169">
        <v>1</v>
      </c>
      <c r="T169" t="s">
        <v>301</v>
      </c>
      <c r="U169">
        <v>5</v>
      </c>
      <c r="V169">
        <v>5.9499999999999993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FBAC-D463-495D-B1CA-431589B0AC03}">
  <dimension ref="A3:C15"/>
  <sheetViews>
    <sheetView zoomScale="175" zoomScaleNormal="175" workbookViewId="0">
      <selection activeCell="B5" sqref="B5"/>
    </sheetView>
  </sheetViews>
  <sheetFormatPr baseColWidth="10" defaultRowHeight="15" x14ac:dyDescent="0.25"/>
  <cols>
    <col min="1" max="1" width="17.5703125" bestFit="1" customWidth="1"/>
    <col min="2" max="2" width="20.42578125" bestFit="1" customWidth="1"/>
    <col min="3" max="3" width="18.42578125" bestFit="1" customWidth="1"/>
    <col min="4" max="4" width="7.28515625" bestFit="1" customWidth="1"/>
    <col min="5" max="5" width="8.42578125" bestFit="1" customWidth="1"/>
    <col min="6" max="6" width="7.28515625" bestFit="1" customWidth="1"/>
    <col min="7" max="7" width="9.42578125" bestFit="1" customWidth="1"/>
    <col min="8" max="8" width="7.28515625" bestFit="1" customWidth="1"/>
    <col min="9" max="10" width="8.42578125" bestFit="1" customWidth="1"/>
    <col min="11" max="11" width="12.5703125" bestFit="1" customWidth="1"/>
    <col min="12" max="12" width="9.28515625" bestFit="1" customWidth="1"/>
    <col min="13" max="13" width="8.140625" bestFit="1" customWidth="1"/>
    <col min="14" max="15" width="8.42578125" bestFit="1" customWidth="1"/>
    <col min="16" max="16" width="6.28515625" bestFit="1" customWidth="1"/>
    <col min="17" max="19" width="7.28515625" bestFit="1" customWidth="1"/>
    <col min="20" max="20" width="11.5703125" bestFit="1" customWidth="1"/>
    <col min="21" max="21" width="8.28515625" bestFit="1" customWidth="1"/>
    <col min="22" max="22" width="11.85546875" bestFit="1" customWidth="1"/>
    <col min="23" max="23" width="12.5703125" bestFit="1" customWidth="1"/>
  </cols>
  <sheetData>
    <row r="3" spans="1:3" x14ac:dyDescent="0.25">
      <c r="A3" s="2" t="s">
        <v>355</v>
      </c>
      <c r="B3" t="s">
        <v>358</v>
      </c>
      <c r="C3" t="s">
        <v>357</v>
      </c>
    </row>
    <row r="4" spans="1:3" x14ac:dyDescent="0.25">
      <c r="A4" s="3" t="s">
        <v>106</v>
      </c>
      <c r="B4" s="4">
        <v>283.41071428571428</v>
      </c>
      <c r="C4" s="4">
        <v>17834508</v>
      </c>
    </row>
    <row r="5" spans="1:3" x14ac:dyDescent="0.25">
      <c r="A5" s="5" t="s">
        <v>23</v>
      </c>
      <c r="B5" s="4">
        <v>283.41071428571428</v>
      </c>
      <c r="C5" s="4">
        <v>17834508</v>
      </c>
    </row>
    <row r="6" spans="1:3" x14ac:dyDescent="0.25">
      <c r="A6" s="3" t="s">
        <v>22</v>
      </c>
      <c r="B6" s="4">
        <v>258.69565217391306</v>
      </c>
      <c r="C6" s="4">
        <v>8476705</v>
      </c>
    </row>
    <row r="7" spans="1:3" x14ac:dyDescent="0.25">
      <c r="A7" s="5" t="s">
        <v>24</v>
      </c>
      <c r="B7" s="4">
        <v>272.44444444444446</v>
      </c>
      <c r="C7" s="4">
        <v>1570661</v>
      </c>
    </row>
    <row r="8" spans="1:3" x14ac:dyDescent="0.25">
      <c r="A8" s="5" t="s">
        <v>55</v>
      </c>
      <c r="B8" s="4">
        <v>296.81818181818181</v>
      </c>
      <c r="C8" s="4">
        <v>1555833</v>
      </c>
    </row>
    <row r="9" spans="1:3" x14ac:dyDescent="0.25">
      <c r="A9" s="5" t="s">
        <v>79</v>
      </c>
      <c r="B9" s="4">
        <v>111</v>
      </c>
      <c r="C9" s="4">
        <v>122802</v>
      </c>
    </row>
    <row r="10" spans="1:3" x14ac:dyDescent="0.25">
      <c r="A10" s="5" t="s">
        <v>87</v>
      </c>
      <c r="B10" s="4">
        <v>317.5</v>
      </c>
      <c r="C10" s="4">
        <v>1012637</v>
      </c>
    </row>
    <row r="11" spans="1:3" x14ac:dyDescent="0.25">
      <c r="A11" s="5" t="s">
        <v>99</v>
      </c>
      <c r="B11" s="4">
        <v>133</v>
      </c>
      <c r="C11" s="4">
        <v>498750</v>
      </c>
    </row>
    <row r="12" spans="1:3" x14ac:dyDescent="0.25">
      <c r="A12" s="5" t="s">
        <v>334</v>
      </c>
      <c r="B12" s="4">
        <v>99</v>
      </c>
      <c r="C12" s="4">
        <v>247500</v>
      </c>
    </row>
    <row r="13" spans="1:3" x14ac:dyDescent="0.25">
      <c r="A13" s="5" t="s">
        <v>338</v>
      </c>
      <c r="B13" s="4">
        <v>262.60000000000002</v>
      </c>
      <c r="C13" s="4">
        <v>1641250</v>
      </c>
    </row>
    <row r="14" spans="1:3" x14ac:dyDescent="0.25">
      <c r="A14" s="5" t="s">
        <v>346</v>
      </c>
      <c r="B14" s="4">
        <v>349.71428571428572</v>
      </c>
      <c r="C14" s="4">
        <v>1827272</v>
      </c>
    </row>
    <row r="15" spans="1:3" x14ac:dyDescent="0.25">
      <c r="A15" s="3" t="s">
        <v>356</v>
      </c>
      <c r="B15" s="4">
        <v>278.09813084112147</v>
      </c>
      <c r="C15" s="4">
        <v>26311213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15"/>
  <sheetViews>
    <sheetView zoomScale="130" zoomScaleNormal="130" workbookViewId="0">
      <selection activeCell="E211" sqref="E211"/>
    </sheetView>
  </sheetViews>
  <sheetFormatPr baseColWidth="10" defaultColWidth="9.140625" defaultRowHeight="15" x14ac:dyDescent="0.25"/>
  <cols>
    <col min="1" max="1" width="18.85546875" bestFit="1" customWidth="1"/>
    <col min="2" max="2" width="14.7109375" bestFit="1" customWidth="1"/>
    <col min="3" max="3" width="32.28515625" bestFit="1" customWidth="1"/>
    <col min="4" max="4" width="31.140625" bestFit="1" customWidth="1"/>
    <col min="5" max="5" width="33.85546875" bestFit="1" customWidth="1"/>
    <col min="6" max="6" width="47.85546875" bestFit="1" customWidth="1"/>
    <col min="7" max="7" width="35.42578125" bestFit="1" customWidth="1"/>
    <col min="8" max="8" width="15.85546875" bestFit="1" customWidth="1"/>
    <col min="9" max="9" width="18.7109375" bestFit="1" customWidth="1"/>
    <col min="10" max="10" width="22.85546875" bestFit="1" customWidth="1"/>
    <col min="11" max="11" width="26.5703125" bestFit="1" customWidth="1"/>
    <col min="12" max="12" width="21" bestFit="1" customWidth="1"/>
    <col min="13" max="13" width="24.5703125" bestFit="1" customWidth="1"/>
    <col min="14" max="14" width="13" bestFit="1" customWidth="1"/>
    <col min="15" max="15" width="17.7109375" bestFit="1" customWidth="1"/>
    <col min="16" max="16" width="14.85546875" bestFit="1" customWidth="1"/>
    <col min="17" max="17" width="23.5703125" bestFit="1" customWidth="1"/>
    <col min="18" max="18" width="14.28515625" bestFit="1" customWidth="1"/>
    <col min="19" max="19" width="24.85546875" bestFit="1" customWidth="1"/>
    <col min="20" max="20" width="12.5703125" bestFit="1" customWidth="1"/>
    <col min="21" max="21" width="30.28515625" bestFit="1" customWidth="1"/>
    <col min="22" max="22" width="19.140625" bestFit="1" customWidth="1"/>
    <col min="23" max="23" width="22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8" t="s">
        <v>3</v>
      </c>
      <c r="E1" s="8" t="s">
        <v>369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25">
      <c r="A2">
        <v>100044349</v>
      </c>
      <c r="B2" t="s">
        <v>22</v>
      </c>
      <c r="C2" t="s">
        <v>23</v>
      </c>
      <c r="D2" t="s">
        <v>24</v>
      </c>
      <c r="E2" t="str">
        <f>VLOOKUP(D2,Catalogo!$A$1:$B$10,2)</f>
        <v>Apex Highway Technologies Division</v>
      </c>
      <c r="F2" t="s">
        <v>25</v>
      </c>
      <c r="G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>
        <v>189</v>
      </c>
      <c r="O2" t="s">
        <v>31</v>
      </c>
      <c r="P2">
        <v>236250</v>
      </c>
      <c r="Q2" t="s">
        <v>32</v>
      </c>
      <c r="R2">
        <v>3</v>
      </c>
      <c r="U2" t="s">
        <v>33</v>
      </c>
      <c r="V2">
        <v>1250</v>
      </c>
      <c r="W2">
        <v>1487.5</v>
      </c>
    </row>
    <row r="3" spans="1:23" hidden="1" x14ac:dyDescent="0.25">
      <c r="A3">
        <v>100044350</v>
      </c>
      <c r="B3" t="s">
        <v>22</v>
      </c>
      <c r="C3" t="s">
        <v>23</v>
      </c>
      <c r="D3" t="s">
        <v>24</v>
      </c>
      <c r="E3" t="str">
        <f>VLOOKUP(D3,Catalogo!$A$1:$B$10,2)</f>
        <v>Apex Highway Technologies Division</v>
      </c>
      <c r="F3" t="s">
        <v>25</v>
      </c>
      <c r="G3" t="s">
        <v>26</v>
      </c>
      <c r="I3" t="s">
        <v>27</v>
      </c>
      <c r="J3" t="s">
        <v>30</v>
      </c>
      <c r="K3" t="s">
        <v>29</v>
      </c>
      <c r="L3" t="s">
        <v>30</v>
      </c>
      <c r="M3" t="s">
        <v>29</v>
      </c>
      <c r="N3">
        <v>20</v>
      </c>
      <c r="O3" t="s">
        <v>31</v>
      </c>
      <c r="P3">
        <v>25000</v>
      </c>
      <c r="Q3" t="s">
        <v>32</v>
      </c>
      <c r="R3">
        <v>3</v>
      </c>
      <c r="U3" t="s">
        <v>34</v>
      </c>
      <c r="V3">
        <v>1250</v>
      </c>
      <c r="W3">
        <v>1487.5</v>
      </c>
    </row>
    <row r="4" spans="1:23" hidden="1" x14ac:dyDescent="0.25">
      <c r="A4">
        <v>100044353</v>
      </c>
      <c r="B4" t="s">
        <v>22</v>
      </c>
      <c r="C4" t="s">
        <v>23</v>
      </c>
      <c r="D4" t="s">
        <v>24</v>
      </c>
      <c r="E4" t="str">
        <f>VLOOKUP(D4,Catalogo!$A$1:$B$10,2)</f>
        <v>Apex Highway Technologies Division</v>
      </c>
      <c r="F4" t="s">
        <v>25</v>
      </c>
      <c r="G4" t="s">
        <v>26</v>
      </c>
      <c r="I4" t="s">
        <v>27</v>
      </c>
      <c r="J4" t="s">
        <v>35</v>
      </c>
      <c r="K4" t="s">
        <v>29</v>
      </c>
      <c r="L4" t="s">
        <v>30</v>
      </c>
      <c r="M4" t="s">
        <v>29</v>
      </c>
      <c r="N4">
        <v>212</v>
      </c>
      <c r="O4" t="s">
        <v>31</v>
      </c>
      <c r="P4">
        <v>265000</v>
      </c>
      <c r="Q4" t="s">
        <v>32</v>
      </c>
      <c r="R4">
        <v>3</v>
      </c>
      <c r="U4" t="s">
        <v>36</v>
      </c>
      <c r="V4">
        <v>1250</v>
      </c>
      <c r="W4">
        <v>1487.5</v>
      </c>
    </row>
    <row r="5" spans="1:23" hidden="1" x14ac:dyDescent="0.25">
      <c r="A5">
        <v>100055001</v>
      </c>
      <c r="B5" t="s">
        <v>22</v>
      </c>
      <c r="C5" t="s">
        <v>23</v>
      </c>
      <c r="D5" t="s">
        <v>24</v>
      </c>
      <c r="E5" t="str">
        <f>VLOOKUP(D5,Catalogo!$A$1:$B$10,2)</f>
        <v>Apex Highway Technologies Division</v>
      </c>
      <c r="F5" t="s">
        <v>37</v>
      </c>
      <c r="G5" t="s">
        <v>26</v>
      </c>
      <c r="I5" t="s">
        <v>38</v>
      </c>
      <c r="J5" t="s">
        <v>39</v>
      </c>
      <c r="K5" t="s">
        <v>40</v>
      </c>
      <c r="L5" t="s">
        <v>39</v>
      </c>
      <c r="M5" t="s">
        <v>40</v>
      </c>
      <c r="N5">
        <v>761</v>
      </c>
      <c r="O5" t="s">
        <v>31</v>
      </c>
      <c r="P5">
        <v>59473</v>
      </c>
      <c r="Q5" t="s">
        <v>32</v>
      </c>
      <c r="R5">
        <v>3</v>
      </c>
      <c r="U5" t="s">
        <v>41</v>
      </c>
      <c r="V5">
        <v>78.151116951379763</v>
      </c>
      <c r="W5">
        <v>92.999829172141915</v>
      </c>
    </row>
    <row r="6" spans="1:23" hidden="1" x14ac:dyDescent="0.25">
      <c r="A6">
        <v>100055003</v>
      </c>
      <c r="B6" t="s">
        <v>22</v>
      </c>
      <c r="C6" t="s">
        <v>23</v>
      </c>
      <c r="D6" t="s">
        <v>24</v>
      </c>
      <c r="E6" t="str">
        <f>VLOOKUP(D6,Catalogo!$A$1:$B$10,2)</f>
        <v>Apex Highway Technologies Division</v>
      </c>
      <c r="F6" t="s">
        <v>37</v>
      </c>
      <c r="G6" t="s">
        <v>26</v>
      </c>
      <c r="I6" t="s">
        <v>42</v>
      </c>
      <c r="J6" t="s">
        <v>43</v>
      </c>
      <c r="K6" t="s">
        <v>44</v>
      </c>
      <c r="L6" t="s">
        <v>43</v>
      </c>
      <c r="M6" t="s">
        <v>44</v>
      </c>
      <c r="N6">
        <v>520</v>
      </c>
      <c r="O6" t="s">
        <v>31</v>
      </c>
      <c r="P6">
        <v>47438</v>
      </c>
      <c r="Q6" t="s">
        <v>32</v>
      </c>
      <c r="R6">
        <v>3</v>
      </c>
      <c r="U6" t="s">
        <v>45</v>
      </c>
      <c r="V6">
        <v>91.226923076923072</v>
      </c>
      <c r="W6">
        <v>108.5600384615385</v>
      </c>
    </row>
    <row r="7" spans="1:23" hidden="1" x14ac:dyDescent="0.25">
      <c r="A7">
        <v>100044351</v>
      </c>
      <c r="B7" t="s">
        <v>22</v>
      </c>
      <c r="C7" t="s">
        <v>23</v>
      </c>
      <c r="D7" t="s">
        <v>24</v>
      </c>
      <c r="E7" t="str">
        <f>VLOOKUP(D7,Catalogo!$A$1:$B$10,2)</f>
        <v>Apex Highway Technologies Division</v>
      </c>
      <c r="F7" t="s">
        <v>25</v>
      </c>
      <c r="G7" t="s">
        <v>26</v>
      </c>
      <c r="I7" t="s">
        <v>27</v>
      </c>
      <c r="J7" t="s">
        <v>46</v>
      </c>
      <c r="K7" t="s">
        <v>47</v>
      </c>
      <c r="L7" t="s">
        <v>46</v>
      </c>
      <c r="M7" t="s">
        <v>47</v>
      </c>
      <c r="N7">
        <v>68</v>
      </c>
      <c r="O7" t="s">
        <v>31</v>
      </c>
      <c r="P7">
        <v>85000</v>
      </c>
      <c r="Q7" t="s">
        <v>32</v>
      </c>
      <c r="R7">
        <v>3</v>
      </c>
      <c r="U7" t="s">
        <v>48</v>
      </c>
      <c r="V7">
        <v>1250</v>
      </c>
      <c r="W7">
        <v>1487.5</v>
      </c>
    </row>
    <row r="8" spans="1:23" hidden="1" x14ac:dyDescent="0.25">
      <c r="A8">
        <v>100044352</v>
      </c>
      <c r="B8" t="s">
        <v>22</v>
      </c>
      <c r="C8" t="s">
        <v>23</v>
      </c>
      <c r="D8" t="s">
        <v>24</v>
      </c>
      <c r="E8" t="str">
        <f>VLOOKUP(D8,Catalogo!$A$1:$B$10,2)</f>
        <v>Apex Highway Technologies Division</v>
      </c>
      <c r="F8" t="s">
        <v>25</v>
      </c>
      <c r="G8" t="s">
        <v>26</v>
      </c>
      <c r="I8" t="s">
        <v>27</v>
      </c>
      <c r="J8" t="s">
        <v>46</v>
      </c>
      <c r="K8" t="s">
        <v>47</v>
      </c>
      <c r="L8" t="s">
        <v>46</v>
      </c>
      <c r="M8" t="s">
        <v>49</v>
      </c>
      <c r="N8">
        <v>74</v>
      </c>
      <c r="O8" t="s">
        <v>31</v>
      </c>
      <c r="P8">
        <v>92500</v>
      </c>
      <c r="Q8" t="s">
        <v>32</v>
      </c>
      <c r="R8">
        <v>3</v>
      </c>
      <c r="U8" t="s">
        <v>50</v>
      </c>
      <c r="V8">
        <v>1250</v>
      </c>
      <c r="W8">
        <v>1487.5</v>
      </c>
    </row>
    <row r="9" spans="1:23" hidden="1" x14ac:dyDescent="0.25">
      <c r="A9">
        <v>100044354</v>
      </c>
      <c r="B9" t="s">
        <v>22</v>
      </c>
      <c r="C9" t="s">
        <v>23</v>
      </c>
      <c r="D9" t="s">
        <v>24</v>
      </c>
      <c r="E9" t="str">
        <f>VLOOKUP(D9,Catalogo!$A$1:$B$10,2)</f>
        <v>Apex Highway Technologies Division</v>
      </c>
      <c r="F9" t="s">
        <v>25</v>
      </c>
      <c r="G9" t="s">
        <v>26</v>
      </c>
      <c r="I9" t="s">
        <v>27</v>
      </c>
      <c r="J9" t="s">
        <v>51</v>
      </c>
      <c r="K9" t="s">
        <v>52</v>
      </c>
      <c r="L9" t="s">
        <v>51</v>
      </c>
      <c r="M9" t="s">
        <v>52</v>
      </c>
      <c r="N9">
        <v>208</v>
      </c>
      <c r="O9" t="s">
        <v>31</v>
      </c>
      <c r="P9">
        <v>260000</v>
      </c>
      <c r="Q9" t="s">
        <v>32</v>
      </c>
      <c r="R9">
        <v>3</v>
      </c>
      <c r="U9" t="s">
        <v>53</v>
      </c>
      <c r="V9">
        <v>1250</v>
      </c>
      <c r="W9">
        <v>1487.5</v>
      </c>
    </row>
    <row r="10" spans="1:23" hidden="1" x14ac:dyDescent="0.25">
      <c r="A10">
        <v>100044355</v>
      </c>
      <c r="B10" t="s">
        <v>22</v>
      </c>
      <c r="C10" t="s">
        <v>23</v>
      </c>
      <c r="D10" t="s">
        <v>24</v>
      </c>
      <c r="E10" t="str">
        <f>VLOOKUP(D10,Catalogo!$A$1:$B$10,2)</f>
        <v>Apex Highway Technologies Division</v>
      </c>
      <c r="F10" t="s">
        <v>25</v>
      </c>
      <c r="G10" t="s">
        <v>26</v>
      </c>
      <c r="I10" t="s">
        <v>27</v>
      </c>
      <c r="J10" t="s">
        <v>51</v>
      </c>
      <c r="K10" t="s">
        <v>52</v>
      </c>
      <c r="L10" t="s">
        <v>51</v>
      </c>
      <c r="M10" t="s">
        <v>52</v>
      </c>
      <c r="N10">
        <v>400</v>
      </c>
      <c r="O10" t="s">
        <v>31</v>
      </c>
      <c r="P10">
        <v>500000</v>
      </c>
      <c r="Q10" t="s">
        <v>32</v>
      </c>
      <c r="R10">
        <v>3</v>
      </c>
      <c r="U10" t="s">
        <v>54</v>
      </c>
      <c r="V10">
        <v>1250</v>
      </c>
      <c r="W10">
        <v>1487.5</v>
      </c>
    </row>
    <row r="11" spans="1:23" hidden="1" x14ac:dyDescent="0.25">
      <c r="A11">
        <v>100044343</v>
      </c>
      <c r="B11" t="s">
        <v>22</v>
      </c>
      <c r="C11" t="s">
        <v>23</v>
      </c>
      <c r="D11" t="s">
        <v>55</v>
      </c>
      <c r="E11" t="str">
        <f>VLOOKUP(D11,Catalogo!$A$1:$B$10,2)</f>
        <v>CalTranscend Systems</v>
      </c>
      <c r="F11" t="s">
        <v>25</v>
      </c>
      <c r="G11" t="s">
        <v>56</v>
      </c>
      <c r="I11" t="s">
        <v>57</v>
      </c>
      <c r="J11" t="s">
        <v>58</v>
      </c>
      <c r="K11" t="s">
        <v>59</v>
      </c>
      <c r="L11" t="s">
        <v>58</v>
      </c>
      <c r="M11" t="s">
        <v>59</v>
      </c>
      <c r="N11">
        <v>22</v>
      </c>
      <c r="O11" t="s">
        <v>31</v>
      </c>
      <c r="P11">
        <v>27500</v>
      </c>
      <c r="Q11" t="s">
        <v>32</v>
      </c>
      <c r="R11">
        <v>3</v>
      </c>
      <c r="U11" t="s">
        <v>60</v>
      </c>
      <c r="V11">
        <v>1250</v>
      </c>
      <c r="W11">
        <v>1487.5</v>
      </c>
    </row>
    <row r="12" spans="1:23" hidden="1" x14ac:dyDescent="0.25">
      <c r="A12">
        <v>100044344</v>
      </c>
      <c r="B12" t="s">
        <v>22</v>
      </c>
      <c r="C12" t="s">
        <v>23</v>
      </c>
      <c r="D12" t="s">
        <v>55</v>
      </c>
      <c r="E12" t="str">
        <f>VLOOKUP(D12,Catalogo!$A$1:$B$10,2)</f>
        <v>CalTranscend Systems</v>
      </c>
      <c r="F12" t="s">
        <v>25</v>
      </c>
      <c r="G12" t="s">
        <v>56</v>
      </c>
      <c r="I12" t="s">
        <v>57</v>
      </c>
      <c r="J12" t="s">
        <v>61</v>
      </c>
      <c r="K12" t="s">
        <v>59</v>
      </c>
      <c r="L12" t="s">
        <v>58</v>
      </c>
      <c r="M12" t="s">
        <v>59</v>
      </c>
      <c r="N12">
        <v>302</v>
      </c>
      <c r="O12" t="s">
        <v>31</v>
      </c>
      <c r="P12">
        <v>377500</v>
      </c>
      <c r="Q12" t="s">
        <v>32</v>
      </c>
      <c r="R12">
        <v>3</v>
      </c>
      <c r="U12" t="s">
        <v>62</v>
      </c>
      <c r="V12">
        <v>1250</v>
      </c>
      <c r="W12">
        <v>1487.5</v>
      </c>
    </row>
    <row r="13" spans="1:23" hidden="1" x14ac:dyDescent="0.25">
      <c r="A13">
        <v>100055000</v>
      </c>
      <c r="B13" t="s">
        <v>22</v>
      </c>
      <c r="C13" t="s">
        <v>23</v>
      </c>
      <c r="D13" t="s">
        <v>55</v>
      </c>
      <c r="E13" t="str">
        <f>VLOOKUP(D13,Catalogo!$A$1:$B$10,2)</f>
        <v>CalTranscend Systems</v>
      </c>
      <c r="F13" t="s">
        <v>37</v>
      </c>
      <c r="G13" t="s">
        <v>56</v>
      </c>
      <c r="I13" t="s">
        <v>42</v>
      </c>
      <c r="J13" t="s">
        <v>43</v>
      </c>
      <c r="K13" t="s">
        <v>44</v>
      </c>
      <c r="L13" t="s">
        <v>43</v>
      </c>
      <c r="M13" t="s">
        <v>44</v>
      </c>
      <c r="N13">
        <v>228</v>
      </c>
      <c r="O13" t="s">
        <v>31</v>
      </c>
      <c r="P13">
        <v>20084</v>
      </c>
      <c r="Q13" t="s">
        <v>32</v>
      </c>
      <c r="R13">
        <v>3</v>
      </c>
      <c r="U13" t="s">
        <v>63</v>
      </c>
      <c r="V13">
        <v>88.087719298245617</v>
      </c>
      <c r="W13">
        <v>104.8243859649123</v>
      </c>
    </row>
    <row r="14" spans="1:23" hidden="1" x14ac:dyDescent="0.25">
      <c r="A14">
        <v>100055002</v>
      </c>
      <c r="B14" t="s">
        <v>22</v>
      </c>
      <c r="C14" t="s">
        <v>23</v>
      </c>
      <c r="D14" t="s">
        <v>55</v>
      </c>
      <c r="E14" t="str">
        <f>VLOOKUP(D14,Catalogo!$A$1:$B$10,2)</f>
        <v>CalTranscend Systems</v>
      </c>
      <c r="F14" t="s">
        <v>37</v>
      </c>
      <c r="G14" t="s">
        <v>56</v>
      </c>
      <c r="I14" t="s">
        <v>64</v>
      </c>
      <c r="J14" t="s">
        <v>65</v>
      </c>
      <c r="K14" t="s">
        <v>66</v>
      </c>
      <c r="L14" t="s">
        <v>65</v>
      </c>
      <c r="M14" t="s">
        <v>66</v>
      </c>
      <c r="N14">
        <v>363</v>
      </c>
      <c r="O14" t="s">
        <v>31</v>
      </c>
      <c r="P14">
        <v>29093</v>
      </c>
      <c r="Q14" t="s">
        <v>32</v>
      </c>
      <c r="R14">
        <v>3</v>
      </c>
      <c r="U14" t="s">
        <v>67</v>
      </c>
      <c r="V14">
        <v>80.146005509641867</v>
      </c>
      <c r="W14">
        <v>95.373746556473819</v>
      </c>
    </row>
    <row r="15" spans="1:23" hidden="1" x14ac:dyDescent="0.25">
      <c r="A15">
        <v>100055005</v>
      </c>
      <c r="B15" t="s">
        <v>22</v>
      </c>
      <c r="C15" t="s">
        <v>23</v>
      </c>
      <c r="D15" t="s">
        <v>55</v>
      </c>
      <c r="E15" t="str">
        <f>VLOOKUP(D15,Catalogo!$A$1:$B$10,2)</f>
        <v>CalTranscend Systems</v>
      </c>
      <c r="F15" t="s">
        <v>37</v>
      </c>
      <c r="G15" t="s">
        <v>56</v>
      </c>
      <c r="I15" t="s">
        <v>64</v>
      </c>
      <c r="J15" t="s">
        <v>65</v>
      </c>
      <c r="K15" t="s">
        <v>66</v>
      </c>
      <c r="L15" t="s">
        <v>65</v>
      </c>
      <c r="M15" t="s">
        <v>66</v>
      </c>
      <c r="N15">
        <v>154</v>
      </c>
      <c r="O15" t="s">
        <v>31</v>
      </c>
      <c r="P15">
        <v>14735</v>
      </c>
      <c r="Q15" t="s">
        <v>32</v>
      </c>
      <c r="R15">
        <v>3</v>
      </c>
      <c r="U15" t="s">
        <v>68</v>
      </c>
      <c r="V15">
        <v>95.681818181818187</v>
      </c>
      <c r="W15">
        <v>113.86136363636361</v>
      </c>
    </row>
    <row r="16" spans="1:23" hidden="1" x14ac:dyDescent="0.25">
      <c r="A16">
        <v>100055007</v>
      </c>
      <c r="B16" t="s">
        <v>22</v>
      </c>
      <c r="C16" t="s">
        <v>23</v>
      </c>
      <c r="D16" t="s">
        <v>55</v>
      </c>
      <c r="E16" t="str">
        <f>VLOOKUP(D16,Catalogo!$A$1:$B$10,2)</f>
        <v>CalTranscend Systems</v>
      </c>
      <c r="F16" t="s">
        <v>37</v>
      </c>
      <c r="G16" t="s">
        <v>56</v>
      </c>
      <c r="I16" t="s">
        <v>38</v>
      </c>
      <c r="J16" t="s">
        <v>39</v>
      </c>
      <c r="K16" t="s">
        <v>40</v>
      </c>
      <c r="L16" t="s">
        <v>39</v>
      </c>
      <c r="M16" t="s">
        <v>40</v>
      </c>
      <c r="N16">
        <v>655</v>
      </c>
      <c r="O16" t="s">
        <v>31</v>
      </c>
      <c r="P16">
        <v>49240</v>
      </c>
      <c r="Q16" t="s">
        <v>32</v>
      </c>
      <c r="R16">
        <v>3</v>
      </c>
      <c r="U16" t="s">
        <v>69</v>
      </c>
      <c r="V16">
        <v>75.175572519083971</v>
      </c>
      <c r="W16">
        <v>89.458931297709924</v>
      </c>
    </row>
    <row r="17" spans="1:23" hidden="1" x14ac:dyDescent="0.25">
      <c r="A17">
        <v>100055009</v>
      </c>
      <c r="B17" t="s">
        <v>22</v>
      </c>
      <c r="C17" t="s">
        <v>23</v>
      </c>
      <c r="D17" t="s">
        <v>55</v>
      </c>
      <c r="E17" t="str">
        <f>VLOOKUP(D17,Catalogo!$A$1:$B$10,2)</f>
        <v>CalTranscend Systems</v>
      </c>
      <c r="F17" t="s">
        <v>37</v>
      </c>
      <c r="G17" t="s">
        <v>56</v>
      </c>
      <c r="I17" t="s">
        <v>64</v>
      </c>
      <c r="J17" t="s">
        <v>65</v>
      </c>
      <c r="K17" t="s">
        <v>66</v>
      </c>
      <c r="L17" t="s">
        <v>65</v>
      </c>
      <c r="M17" t="s">
        <v>66</v>
      </c>
      <c r="N17">
        <v>761</v>
      </c>
      <c r="O17" t="s">
        <v>31</v>
      </c>
      <c r="P17">
        <v>62681</v>
      </c>
      <c r="Q17" t="s">
        <v>32</v>
      </c>
      <c r="R17">
        <v>3</v>
      </c>
      <c r="U17" t="s">
        <v>70</v>
      </c>
      <c r="V17">
        <v>82.366622864651774</v>
      </c>
      <c r="W17">
        <v>98.016281208935609</v>
      </c>
    </row>
    <row r="18" spans="1:23" hidden="1" x14ac:dyDescent="0.25">
      <c r="A18">
        <v>100044345</v>
      </c>
      <c r="B18" t="s">
        <v>22</v>
      </c>
      <c r="C18" t="s">
        <v>23</v>
      </c>
      <c r="D18" t="s">
        <v>55</v>
      </c>
      <c r="E18" t="str">
        <f>VLOOKUP(D18,Catalogo!$A$1:$B$10,2)</f>
        <v>CalTranscend Systems</v>
      </c>
      <c r="F18" t="s">
        <v>25</v>
      </c>
      <c r="G18" t="s">
        <v>56</v>
      </c>
      <c r="I18" t="s">
        <v>57</v>
      </c>
      <c r="J18" t="s">
        <v>71</v>
      </c>
      <c r="K18" t="s">
        <v>72</v>
      </c>
      <c r="L18" t="s">
        <v>73</v>
      </c>
      <c r="M18" t="s">
        <v>72</v>
      </c>
      <c r="N18">
        <v>22</v>
      </c>
      <c r="O18" t="s">
        <v>31</v>
      </c>
      <c r="P18">
        <v>27500</v>
      </c>
      <c r="Q18" t="s">
        <v>32</v>
      </c>
      <c r="R18">
        <v>3</v>
      </c>
      <c r="U18" t="s">
        <v>74</v>
      </c>
      <c r="V18">
        <v>1250</v>
      </c>
      <c r="W18">
        <v>1487.5</v>
      </c>
    </row>
    <row r="19" spans="1:23" hidden="1" x14ac:dyDescent="0.25">
      <c r="A19">
        <v>100044346</v>
      </c>
      <c r="B19" t="s">
        <v>22</v>
      </c>
      <c r="C19" t="s">
        <v>23</v>
      </c>
      <c r="D19" t="s">
        <v>55</v>
      </c>
      <c r="E19" t="str">
        <f>VLOOKUP(D19,Catalogo!$A$1:$B$10,2)</f>
        <v>CalTranscend Systems</v>
      </c>
      <c r="F19" t="s">
        <v>25</v>
      </c>
      <c r="G19" t="s">
        <v>56</v>
      </c>
      <c r="I19" t="s">
        <v>57</v>
      </c>
      <c r="J19" t="s">
        <v>73</v>
      </c>
      <c r="K19" t="s">
        <v>72</v>
      </c>
      <c r="L19" t="s">
        <v>73</v>
      </c>
      <c r="M19" t="s">
        <v>72</v>
      </c>
      <c r="N19">
        <v>59</v>
      </c>
      <c r="O19" t="s">
        <v>31</v>
      </c>
      <c r="P19">
        <v>73750</v>
      </c>
      <c r="Q19" t="s">
        <v>32</v>
      </c>
      <c r="R19">
        <v>3</v>
      </c>
      <c r="U19" t="s">
        <v>75</v>
      </c>
      <c r="V19">
        <v>1250</v>
      </c>
      <c r="W19">
        <v>1487.5</v>
      </c>
    </row>
    <row r="20" spans="1:23" hidden="1" x14ac:dyDescent="0.25">
      <c r="A20">
        <v>100044347</v>
      </c>
      <c r="B20" t="s">
        <v>22</v>
      </c>
      <c r="C20" t="s">
        <v>23</v>
      </c>
      <c r="D20" t="s">
        <v>55</v>
      </c>
      <c r="E20" t="str">
        <f>VLOOKUP(D20,Catalogo!$A$1:$B$10,2)</f>
        <v>CalTranscend Systems</v>
      </c>
      <c r="F20" t="s">
        <v>25</v>
      </c>
      <c r="G20" t="s">
        <v>56</v>
      </c>
      <c r="I20" t="s">
        <v>57</v>
      </c>
      <c r="J20" t="s">
        <v>72</v>
      </c>
      <c r="K20" t="s">
        <v>76</v>
      </c>
      <c r="L20" t="s">
        <v>72</v>
      </c>
      <c r="M20" t="s">
        <v>76</v>
      </c>
      <c r="N20">
        <v>645</v>
      </c>
      <c r="O20" t="s">
        <v>31</v>
      </c>
      <c r="P20">
        <v>806250</v>
      </c>
      <c r="Q20" t="s">
        <v>32</v>
      </c>
      <c r="R20">
        <v>3</v>
      </c>
      <c r="U20" t="s">
        <v>77</v>
      </c>
      <c r="V20">
        <v>1250</v>
      </c>
      <c r="W20">
        <v>1487.5</v>
      </c>
    </row>
    <row r="21" spans="1:23" hidden="1" x14ac:dyDescent="0.25">
      <c r="A21">
        <v>100044348</v>
      </c>
      <c r="B21" t="s">
        <v>22</v>
      </c>
      <c r="C21" t="s">
        <v>23</v>
      </c>
      <c r="D21" t="s">
        <v>55</v>
      </c>
      <c r="E21" t="str">
        <f>VLOOKUP(D21,Catalogo!$A$1:$B$10,2)</f>
        <v>CalTranscend Systems</v>
      </c>
      <c r="F21" t="s">
        <v>25</v>
      </c>
      <c r="G21" t="s">
        <v>56</v>
      </c>
      <c r="I21" t="s">
        <v>57</v>
      </c>
      <c r="J21" t="s">
        <v>72</v>
      </c>
      <c r="K21" t="s">
        <v>76</v>
      </c>
      <c r="L21" t="s">
        <v>72</v>
      </c>
      <c r="M21" t="s">
        <v>76</v>
      </c>
      <c r="N21">
        <v>54</v>
      </c>
      <c r="O21" t="s">
        <v>31</v>
      </c>
      <c r="P21">
        <v>67500</v>
      </c>
      <c r="Q21" t="s">
        <v>32</v>
      </c>
      <c r="R21">
        <v>3</v>
      </c>
      <c r="U21" t="s">
        <v>78</v>
      </c>
      <c r="V21">
        <v>1250</v>
      </c>
      <c r="W21">
        <v>1487.5</v>
      </c>
    </row>
    <row r="22" spans="1:23" hidden="1" x14ac:dyDescent="0.25">
      <c r="A22">
        <v>100044325</v>
      </c>
      <c r="B22" t="s">
        <v>22</v>
      </c>
      <c r="C22" t="s">
        <v>23</v>
      </c>
      <c r="D22" t="s">
        <v>79</v>
      </c>
      <c r="E22" t="str">
        <f>VLOOKUP(D22,Catalogo!$A$1:$B$10,2)</f>
        <v>Core Logistics Alliance</v>
      </c>
      <c r="F22" t="s">
        <v>37</v>
      </c>
      <c r="G22" t="s">
        <v>80</v>
      </c>
      <c r="I22" t="s">
        <v>72</v>
      </c>
      <c r="J22" t="s">
        <v>39</v>
      </c>
      <c r="K22" t="s">
        <v>40</v>
      </c>
      <c r="L22" t="s">
        <v>39</v>
      </c>
      <c r="M22" t="s">
        <v>40</v>
      </c>
      <c r="N22">
        <v>44</v>
      </c>
      <c r="O22" t="s">
        <v>31</v>
      </c>
      <c r="P22">
        <v>55000</v>
      </c>
      <c r="Q22" t="s">
        <v>32</v>
      </c>
      <c r="R22">
        <v>3</v>
      </c>
      <c r="U22" t="s">
        <v>81</v>
      </c>
      <c r="V22">
        <v>1250</v>
      </c>
      <c r="W22">
        <v>1487.5</v>
      </c>
    </row>
    <row r="23" spans="1:23" hidden="1" x14ac:dyDescent="0.25">
      <c r="A23">
        <v>100044326</v>
      </c>
      <c r="B23" t="s">
        <v>22</v>
      </c>
      <c r="C23" t="s">
        <v>23</v>
      </c>
      <c r="D23" t="s">
        <v>79</v>
      </c>
      <c r="E23" t="str">
        <f>VLOOKUP(D23,Catalogo!$A$1:$B$10,2)</f>
        <v>Core Logistics Alliance</v>
      </c>
      <c r="F23" t="s">
        <v>37</v>
      </c>
      <c r="G23" t="s">
        <v>80</v>
      </c>
      <c r="I23" t="s">
        <v>72</v>
      </c>
      <c r="J23" t="s">
        <v>82</v>
      </c>
      <c r="K23" t="s">
        <v>39</v>
      </c>
      <c r="L23" t="s">
        <v>82</v>
      </c>
      <c r="M23" t="s">
        <v>39</v>
      </c>
      <c r="N23">
        <v>12</v>
      </c>
      <c r="O23" t="s">
        <v>31</v>
      </c>
      <c r="P23">
        <v>15000</v>
      </c>
      <c r="Q23" t="s">
        <v>32</v>
      </c>
      <c r="R23">
        <v>3</v>
      </c>
      <c r="U23" t="s">
        <v>83</v>
      </c>
      <c r="V23">
        <v>1250</v>
      </c>
      <c r="W23">
        <v>1487.5</v>
      </c>
    </row>
    <row r="24" spans="1:23" hidden="1" x14ac:dyDescent="0.25">
      <c r="A24">
        <v>100044327</v>
      </c>
      <c r="B24" t="s">
        <v>22</v>
      </c>
      <c r="C24" t="s">
        <v>23</v>
      </c>
      <c r="D24" t="s">
        <v>79</v>
      </c>
      <c r="E24" t="str">
        <f>VLOOKUP(D24,Catalogo!$A$1:$B$10,2)</f>
        <v>Core Logistics Alliance</v>
      </c>
      <c r="F24" t="s">
        <v>37</v>
      </c>
      <c r="G24" t="s">
        <v>80</v>
      </c>
      <c r="I24" t="s">
        <v>72</v>
      </c>
      <c r="J24" t="s">
        <v>82</v>
      </c>
      <c r="K24" t="s">
        <v>39</v>
      </c>
      <c r="L24" t="s">
        <v>82</v>
      </c>
      <c r="M24" t="s">
        <v>43</v>
      </c>
      <c r="N24">
        <v>12</v>
      </c>
      <c r="O24" t="s">
        <v>31</v>
      </c>
      <c r="P24">
        <v>15000</v>
      </c>
      <c r="Q24" t="s">
        <v>32</v>
      </c>
      <c r="R24">
        <v>3</v>
      </c>
      <c r="U24" t="s">
        <v>84</v>
      </c>
      <c r="V24">
        <v>1250</v>
      </c>
      <c r="W24">
        <v>1487.5</v>
      </c>
    </row>
    <row r="25" spans="1:23" hidden="1" x14ac:dyDescent="0.25">
      <c r="A25">
        <v>100055006</v>
      </c>
      <c r="B25" t="s">
        <v>22</v>
      </c>
      <c r="C25" t="s">
        <v>23</v>
      </c>
      <c r="D25" t="s">
        <v>79</v>
      </c>
      <c r="E25" t="str">
        <f>VLOOKUP(D25,Catalogo!$A$1:$B$10,2)</f>
        <v>Core Logistics Alliance</v>
      </c>
      <c r="F25" t="s">
        <v>37</v>
      </c>
      <c r="G25" t="s">
        <v>80</v>
      </c>
      <c r="I25" t="s">
        <v>42</v>
      </c>
      <c r="J25" t="s">
        <v>43</v>
      </c>
      <c r="K25" t="s">
        <v>44</v>
      </c>
      <c r="L25" t="s">
        <v>43</v>
      </c>
      <c r="M25" t="s">
        <v>44</v>
      </c>
      <c r="N25">
        <v>259</v>
      </c>
      <c r="O25" t="s">
        <v>31</v>
      </c>
      <c r="P25">
        <v>18536</v>
      </c>
      <c r="Q25" t="s">
        <v>32</v>
      </c>
      <c r="R25">
        <v>3</v>
      </c>
      <c r="U25" t="s">
        <v>85</v>
      </c>
      <c r="V25">
        <v>71.567567567567565</v>
      </c>
      <c r="W25">
        <v>85.165405405405394</v>
      </c>
    </row>
    <row r="26" spans="1:23" hidden="1" x14ac:dyDescent="0.25">
      <c r="A26">
        <v>100055008</v>
      </c>
      <c r="B26" t="s">
        <v>22</v>
      </c>
      <c r="C26" t="s">
        <v>23</v>
      </c>
      <c r="D26" t="s">
        <v>79</v>
      </c>
      <c r="E26" t="str">
        <f>VLOOKUP(D26,Catalogo!$A$1:$B$10,2)</f>
        <v>Core Logistics Alliance</v>
      </c>
      <c r="F26" t="s">
        <v>37</v>
      </c>
      <c r="G26" t="s">
        <v>80</v>
      </c>
      <c r="I26" t="s">
        <v>64</v>
      </c>
      <c r="J26" t="s">
        <v>65</v>
      </c>
      <c r="K26" t="s">
        <v>66</v>
      </c>
      <c r="L26" t="s">
        <v>65</v>
      </c>
      <c r="M26" t="s">
        <v>66</v>
      </c>
      <c r="N26">
        <v>228</v>
      </c>
      <c r="O26" t="s">
        <v>31</v>
      </c>
      <c r="P26">
        <v>19266</v>
      </c>
      <c r="Q26" t="s">
        <v>32</v>
      </c>
      <c r="R26">
        <v>3</v>
      </c>
      <c r="U26" t="s">
        <v>86</v>
      </c>
      <c r="V26">
        <v>84.5</v>
      </c>
      <c r="W26">
        <v>100.55500000000001</v>
      </c>
    </row>
    <row r="27" spans="1:23" hidden="1" x14ac:dyDescent="0.25">
      <c r="A27">
        <v>100044323</v>
      </c>
      <c r="B27" t="s">
        <v>22</v>
      </c>
      <c r="C27" t="s">
        <v>23</v>
      </c>
      <c r="D27" t="s">
        <v>87</v>
      </c>
      <c r="E27" t="str">
        <f>VLOOKUP(D27,Catalogo!$A$1:$B$10,2)</f>
        <v>Flight Axis Authority</v>
      </c>
      <c r="F27" t="s">
        <v>37</v>
      </c>
      <c r="G27" t="s">
        <v>88</v>
      </c>
      <c r="I27" t="s">
        <v>28</v>
      </c>
      <c r="J27" t="s">
        <v>89</v>
      </c>
      <c r="K27" t="s">
        <v>90</v>
      </c>
      <c r="L27" t="s">
        <v>91</v>
      </c>
      <c r="M27" t="s">
        <v>92</v>
      </c>
      <c r="N27">
        <v>250</v>
      </c>
      <c r="O27" t="s">
        <v>31</v>
      </c>
      <c r="P27">
        <v>312500</v>
      </c>
      <c r="Q27" t="s">
        <v>32</v>
      </c>
      <c r="R27">
        <v>3</v>
      </c>
      <c r="U27" t="s">
        <v>93</v>
      </c>
      <c r="V27">
        <v>1250</v>
      </c>
      <c r="W27">
        <v>1487.5</v>
      </c>
    </row>
    <row r="28" spans="1:23" hidden="1" x14ac:dyDescent="0.25">
      <c r="A28">
        <v>100044324</v>
      </c>
      <c r="B28" t="s">
        <v>22</v>
      </c>
      <c r="C28" t="s">
        <v>23</v>
      </c>
      <c r="D28" t="s">
        <v>87</v>
      </c>
      <c r="E28" t="str">
        <f>VLOOKUP(D28,Catalogo!$A$1:$B$10,2)</f>
        <v>Flight Axis Authority</v>
      </c>
      <c r="F28" t="s">
        <v>37</v>
      </c>
      <c r="G28" t="s">
        <v>88</v>
      </c>
      <c r="I28" t="s">
        <v>28</v>
      </c>
      <c r="J28" t="s">
        <v>94</v>
      </c>
      <c r="K28" t="s">
        <v>95</v>
      </c>
      <c r="L28" t="s">
        <v>94</v>
      </c>
      <c r="M28" t="s">
        <v>95</v>
      </c>
      <c r="N28">
        <v>132</v>
      </c>
      <c r="O28" t="s">
        <v>31</v>
      </c>
      <c r="P28">
        <v>165000</v>
      </c>
      <c r="Q28" t="s">
        <v>32</v>
      </c>
      <c r="R28">
        <v>3</v>
      </c>
      <c r="U28" t="s">
        <v>96</v>
      </c>
      <c r="V28">
        <v>1250</v>
      </c>
      <c r="W28">
        <v>1487.5</v>
      </c>
    </row>
    <row r="29" spans="1:23" hidden="1" x14ac:dyDescent="0.25">
      <c r="A29">
        <v>100055010</v>
      </c>
      <c r="B29" t="s">
        <v>22</v>
      </c>
      <c r="C29" t="s">
        <v>23</v>
      </c>
      <c r="D29" t="s">
        <v>87</v>
      </c>
      <c r="E29" t="str">
        <f>VLOOKUP(D29,Catalogo!$A$1:$B$10,2)</f>
        <v>Flight Axis Authority</v>
      </c>
      <c r="F29" t="s">
        <v>37</v>
      </c>
      <c r="G29" t="s">
        <v>88</v>
      </c>
      <c r="I29" t="s">
        <v>42</v>
      </c>
      <c r="J29" t="s">
        <v>43</v>
      </c>
      <c r="K29" t="s">
        <v>44</v>
      </c>
      <c r="L29" t="s">
        <v>43</v>
      </c>
      <c r="M29" t="s">
        <v>44</v>
      </c>
      <c r="N29">
        <v>488</v>
      </c>
      <c r="O29" t="s">
        <v>31</v>
      </c>
      <c r="P29">
        <v>35137</v>
      </c>
      <c r="Q29" t="s">
        <v>32</v>
      </c>
      <c r="R29">
        <v>4</v>
      </c>
      <c r="U29" t="s">
        <v>97</v>
      </c>
      <c r="V29">
        <v>72.002049180327873</v>
      </c>
      <c r="W29">
        <v>85.682438524590168</v>
      </c>
    </row>
    <row r="30" spans="1:23" hidden="1" x14ac:dyDescent="0.25">
      <c r="A30">
        <v>100044322</v>
      </c>
      <c r="B30" t="s">
        <v>22</v>
      </c>
      <c r="C30" t="s">
        <v>23</v>
      </c>
      <c r="D30" t="s">
        <v>87</v>
      </c>
      <c r="E30" t="str">
        <f>VLOOKUP(D30,Catalogo!$A$1:$B$10,2)</f>
        <v>Flight Axis Authority</v>
      </c>
      <c r="F30" t="s">
        <v>37</v>
      </c>
      <c r="G30" t="s">
        <v>88</v>
      </c>
      <c r="I30" t="s">
        <v>28</v>
      </c>
      <c r="J30" t="s">
        <v>43</v>
      </c>
      <c r="K30" t="s">
        <v>44</v>
      </c>
      <c r="N30">
        <v>400</v>
      </c>
      <c r="O30" t="s">
        <v>31</v>
      </c>
      <c r="P30">
        <v>500000</v>
      </c>
      <c r="Q30" t="s">
        <v>32</v>
      </c>
      <c r="R30">
        <v>3</v>
      </c>
      <c r="U30" t="s">
        <v>98</v>
      </c>
      <c r="V30">
        <v>1250</v>
      </c>
      <c r="W30">
        <v>1487.5</v>
      </c>
    </row>
    <row r="31" spans="1:23" hidden="1" x14ac:dyDescent="0.25">
      <c r="A31">
        <v>100044335</v>
      </c>
      <c r="B31" t="s">
        <v>22</v>
      </c>
      <c r="C31" t="s">
        <v>23</v>
      </c>
      <c r="D31" t="s">
        <v>99</v>
      </c>
      <c r="E31" t="str">
        <f>VLOOKUP(D31,Catalogo!$A$1:$B$10,2)</f>
        <v>Kinetic Transit Core</v>
      </c>
      <c r="F31" t="s">
        <v>37</v>
      </c>
      <c r="G31" t="s">
        <v>100</v>
      </c>
      <c r="I31" t="s">
        <v>71</v>
      </c>
      <c r="J31" t="s">
        <v>28</v>
      </c>
      <c r="K31" t="s">
        <v>101</v>
      </c>
      <c r="L31" t="s">
        <v>28</v>
      </c>
      <c r="M31" t="s">
        <v>61</v>
      </c>
      <c r="N31">
        <v>320</v>
      </c>
      <c r="O31" t="s">
        <v>31</v>
      </c>
      <c r="P31">
        <v>400000</v>
      </c>
      <c r="Q31" t="s">
        <v>32</v>
      </c>
      <c r="R31">
        <v>3</v>
      </c>
      <c r="U31" t="s">
        <v>102</v>
      </c>
      <c r="V31">
        <v>1250</v>
      </c>
      <c r="W31">
        <v>1487.5</v>
      </c>
    </row>
    <row r="32" spans="1:23" hidden="1" x14ac:dyDescent="0.25">
      <c r="A32">
        <v>100044336</v>
      </c>
      <c r="B32" t="s">
        <v>22</v>
      </c>
      <c r="C32" t="s">
        <v>23</v>
      </c>
      <c r="D32" t="s">
        <v>99</v>
      </c>
      <c r="E32" t="str">
        <f>VLOOKUP(D32,Catalogo!$A$1:$B$10,2)</f>
        <v>Kinetic Transit Core</v>
      </c>
      <c r="F32" t="s">
        <v>37</v>
      </c>
      <c r="G32" t="s">
        <v>100</v>
      </c>
      <c r="I32" t="s">
        <v>71</v>
      </c>
      <c r="J32" t="s">
        <v>61</v>
      </c>
      <c r="K32" t="s">
        <v>103</v>
      </c>
      <c r="L32" t="s">
        <v>61</v>
      </c>
      <c r="M32" t="s">
        <v>103</v>
      </c>
      <c r="N32">
        <v>75</v>
      </c>
      <c r="O32" t="s">
        <v>31</v>
      </c>
      <c r="P32">
        <v>93750</v>
      </c>
      <c r="Q32" t="s">
        <v>32</v>
      </c>
      <c r="R32">
        <v>3</v>
      </c>
      <c r="U32" t="s">
        <v>104</v>
      </c>
      <c r="V32">
        <v>1250</v>
      </c>
      <c r="W32">
        <v>1487.5</v>
      </c>
    </row>
    <row r="33" spans="1:23" hidden="1" x14ac:dyDescent="0.25">
      <c r="A33">
        <v>100044337</v>
      </c>
      <c r="B33" t="s">
        <v>22</v>
      </c>
      <c r="C33" t="s">
        <v>23</v>
      </c>
      <c r="D33" t="s">
        <v>99</v>
      </c>
      <c r="E33" t="str">
        <f>VLOOKUP(D33,Catalogo!$A$1:$B$10,2)</f>
        <v>Kinetic Transit Core</v>
      </c>
      <c r="F33" t="s">
        <v>37</v>
      </c>
      <c r="G33" t="s">
        <v>100</v>
      </c>
      <c r="I33" t="s">
        <v>71</v>
      </c>
      <c r="J33" t="s">
        <v>61</v>
      </c>
      <c r="K33" t="s">
        <v>103</v>
      </c>
      <c r="L33" t="s">
        <v>61</v>
      </c>
      <c r="M33" t="s">
        <v>103</v>
      </c>
      <c r="N33">
        <v>4</v>
      </c>
      <c r="O33" t="s">
        <v>31</v>
      </c>
      <c r="P33">
        <v>5000</v>
      </c>
      <c r="Q33" t="s">
        <v>32</v>
      </c>
      <c r="R33">
        <v>3</v>
      </c>
      <c r="U33" t="s">
        <v>105</v>
      </c>
      <c r="V33">
        <v>1250</v>
      </c>
      <c r="W33">
        <v>1487.5</v>
      </c>
    </row>
    <row r="34" spans="1:23" hidden="1" x14ac:dyDescent="0.25">
      <c r="A34">
        <v>1000567212</v>
      </c>
      <c r="B34" t="s">
        <v>106</v>
      </c>
      <c r="C34" t="s">
        <v>107</v>
      </c>
      <c r="D34" t="s">
        <v>23</v>
      </c>
      <c r="E34" t="str">
        <f>VLOOKUP(D34,Catalogo!$A$1:$B$10,2)</f>
        <v>LightTree Innovations</v>
      </c>
      <c r="F34" t="s">
        <v>108</v>
      </c>
      <c r="G34" t="s">
        <v>25</v>
      </c>
      <c r="I34" t="s">
        <v>46</v>
      </c>
      <c r="J34" t="s">
        <v>47</v>
      </c>
      <c r="K34" t="s">
        <v>76</v>
      </c>
      <c r="L34" t="s">
        <v>47</v>
      </c>
      <c r="M34" t="s">
        <v>76</v>
      </c>
      <c r="N34">
        <v>56</v>
      </c>
      <c r="O34" t="s">
        <v>31</v>
      </c>
      <c r="P34">
        <v>134288</v>
      </c>
      <c r="Q34" t="s">
        <v>32</v>
      </c>
      <c r="R34">
        <v>1</v>
      </c>
      <c r="U34" t="s">
        <v>109</v>
      </c>
      <c r="V34">
        <v>2398</v>
      </c>
      <c r="W34">
        <v>2853.62</v>
      </c>
    </row>
    <row r="35" spans="1:23" hidden="1" x14ac:dyDescent="0.25">
      <c r="A35">
        <v>1000567213</v>
      </c>
      <c r="B35" t="s">
        <v>106</v>
      </c>
      <c r="C35" t="s">
        <v>110</v>
      </c>
      <c r="D35" t="s">
        <v>23</v>
      </c>
      <c r="E35" t="str">
        <f>VLOOKUP(D35,Catalogo!$A$1:$B$10,2)</f>
        <v>LightTree Innovations</v>
      </c>
      <c r="F35" t="s">
        <v>111</v>
      </c>
      <c r="G35" t="s">
        <v>25</v>
      </c>
      <c r="I35" t="s">
        <v>46</v>
      </c>
      <c r="J35" t="s">
        <v>47</v>
      </c>
      <c r="K35" t="s">
        <v>76</v>
      </c>
      <c r="L35" t="s">
        <v>47</v>
      </c>
      <c r="M35" t="s">
        <v>76</v>
      </c>
      <c r="N35">
        <v>56</v>
      </c>
      <c r="O35" t="s">
        <v>31</v>
      </c>
      <c r="P35">
        <v>168</v>
      </c>
      <c r="Q35" t="s">
        <v>32</v>
      </c>
      <c r="R35">
        <v>1</v>
      </c>
      <c r="U35" t="s">
        <v>112</v>
      </c>
      <c r="V35">
        <v>3</v>
      </c>
      <c r="W35">
        <v>3.57</v>
      </c>
    </row>
    <row r="36" spans="1:23" hidden="1" x14ac:dyDescent="0.25">
      <c r="A36">
        <v>1000567215</v>
      </c>
      <c r="B36" t="s">
        <v>106</v>
      </c>
      <c r="C36" t="s">
        <v>113</v>
      </c>
      <c r="D36" t="s">
        <v>23</v>
      </c>
      <c r="E36" t="str">
        <f>VLOOKUP(D36,Catalogo!$A$1:$B$10,2)</f>
        <v>LightTree Innovations</v>
      </c>
      <c r="F36" t="s">
        <v>114</v>
      </c>
      <c r="G36" t="s">
        <v>25</v>
      </c>
      <c r="I36" t="s">
        <v>47</v>
      </c>
      <c r="J36" t="s">
        <v>115</v>
      </c>
      <c r="K36" t="s">
        <v>58</v>
      </c>
      <c r="L36" t="s">
        <v>58</v>
      </c>
      <c r="N36">
        <v>44</v>
      </c>
      <c r="O36" t="s">
        <v>31</v>
      </c>
      <c r="P36">
        <v>20020</v>
      </c>
      <c r="Q36" t="s">
        <v>32</v>
      </c>
      <c r="R36">
        <v>1</v>
      </c>
      <c r="U36" t="s">
        <v>116</v>
      </c>
      <c r="V36">
        <v>455</v>
      </c>
      <c r="W36">
        <v>541.44999999999993</v>
      </c>
    </row>
    <row r="37" spans="1:23" hidden="1" x14ac:dyDescent="0.25">
      <c r="A37">
        <v>1000567217</v>
      </c>
      <c r="B37" t="s">
        <v>106</v>
      </c>
      <c r="C37" t="s">
        <v>117</v>
      </c>
      <c r="D37" t="s">
        <v>23</v>
      </c>
      <c r="E37" t="str">
        <f>VLOOKUP(D37,Catalogo!$A$1:$B$10,2)</f>
        <v>LightTree Innovations</v>
      </c>
      <c r="F37" t="s">
        <v>118</v>
      </c>
      <c r="G37" t="s">
        <v>25</v>
      </c>
      <c r="I37" t="s">
        <v>47</v>
      </c>
      <c r="J37" t="s">
        <v>115</v>
      </c>
      <c r="K37" t="s">
        <v>58</v>
      </c>
      <c r="L37" t="s">
        <v>101</v>
      </c>
      <c r="N37">
        <v>44</v>
      </c>
      <c r="O37" t="s">
        <v>31</v>
      </c>
      <c r="P37">
        <v>836</v>
      </c>
      <c r="Q37" t="s">
        <v>32</v>
      </c>
      <c r="R37">
        <v>1</v>
      </c>
      <c r="U37" t="s">
        <v>119</v>
      </c>
      <c r="V37">
        <v>19</v>
      </c>
      <c r="W37">
        <v>22.61</v>
      </c>
    </row>
    <row r="38" spans="1:23" hidden="1" x14ac:dyDescent="0.25">
      <c r="A38">
        <v>1000567229</v>
      </c>
      <c r="B38" t="s">
        <v>106</v>
      </c>
      <c r="C38" t="s">
        <v>120</v>
      </c>
      <c r="D38" t="s">
        <v>23</v>
      </c>
      <c r="E38" t="str">
        <f>VLOOKUP(D38,Catalogo!$A$1:$B$10,2)</f>
        <v>LightTree Innovations</v>
      </c>
      <c r="F38" t="s">
        <v>121</v>
      </c>
      <c r="G38" t="s">
        <v>25</v>
      </c>
      <c r="I38" t="s">
        <v>122</v>
      </c>
      <c r="J38" t="s">
        <v>123</v>
      </c>
      <c r="K38" t="s">
        <v>124</v>
      </c>
      <c r="L38" t="s">
        <v>123</v>
      </c>
      <c r="M38" t="s">
        <v>124</v>
      </c>
      <c r="N38">
        <v>124</v>
      </c>
      <c r="O38" t="s">
        <v>31</v>
      </c>
      <c r="P38">
        <v>6820</v>
      </c>
      <c r="Q38" t="s">
        <v>32</v>
      </c>
      <c r="R38">
        <v>1</v>
      </c>
      <c r="U38" t="s">
        <v>125</v>
      </c>
      <c r="V38">
        <v>55</v>
      </c>
      <c r="W38">
        <v>65.45</v>
      </c>
    </row>
    <row r="39" spans="1:23" hidden="1" x14ac:dyDescent="0.25">
      <c r="A39">
        <v>1000567234</v>
      </c>
      <c r="B39" t="s">
        <v>106</v>
      </c>
      <c r="C39" t="s">
        <v>126</v>
      </c>
      <c r="D39" t="s">
        <v>23</v>
      </c>
      <c r="E39" t="str">
        <f>VLOOKUP(D39,Catalogo!$A$1:$B$10,2)</f>
        <v>LightTree Innovations</v>
      </c>
      <c r="F39" t="s">
        <v>127</v>
      </c>
      <c r="G39" t="s">
        <v>25</v>
      </c>
      <c r="I39" t="s">
        <v>47</v>
      </c>
      <c r="J39" t="s">
        <v>115</v>
      </c>
      <c r="K39" t="s">
        <v>58</v>
      </c>
      <c r="L39" t="s">
        <v>115</v>
      </c>
      <c r="N39">
        <v>44</v>
      </c>
      <c r="O39" t="s">
        <v>31</v>
      </c>
      <c r="P39">
        <v>2420</v>
      </c>
      <c r="Q39" t="s">
        <v>32</v>
      </c>
      <c r="R39">
        <v>1</v>
      </c>
      <c r="U39" t="s">
        <v>128</v>
      </c>
      <c r="V39">
        <v>55</v>
      </c>
      <c r="W39">
        <v>65.45</v>
      </c>
    </row>
    <row r="40" spans="1:23" hidden="1" x14ac:dyDescent="0.25">
      <c r="A40">
        <v>1000567240</v>
      </c>
      <c r="B40" t="s">
        <v>106</v>
      </c>
      <c r="C40" t="s">
        <v>110</v>
      </c>
      <c r="D40" t="s">
        <v>23</v>
      </c>
      <c r="E40" t="str">
        <f>VLOOKUP(D40,Catalogo!$A$1:$B$10,2)</f>
        <v>LightTree Innovations</v>
      </c>
      <c r="F40" t="s">
        <v>111</v>
      </c>
      <c r="G40" t="s">
        <v>25</v>
      </c>
      <c r="I40" t="s">
        <v>47</v>
      </c>
      <c r="J40" t="s">
        <v>115</v>
      </c>
      <c r="K40" t="s">
        <v>58</v>
      </c>
      <c r="L40" t="s">
        <v>101</v>
      </c>
      <c r="N40">
        <v>44</v>
      </c>
      <c r="O40" t="s">
        <v>31</v>
      </c>
      <c r="P40">
        <v>220</v>
      </c>
      <c r="Q40" t="s">
        <v>32</v>
      </c>
      <c r="R40">
        <v>1</v>
      </c>
      <c r="U40" t="s">
        <v>129</v>
      </c>
      <c r="V40">
        <v>5</v>
      </c>
      <c r="W40">
        <v>5.9499999999999993</v>
      </c>
    </row>
    <row r="41" spans="1:23" hidden="1" x14ac:dyDescent="0.25">
      <c r="A41">
        <v>1000567241</v>
      </c>
      <c r="B41" t="s">
        <v>106</v>
      </c>
      <c r="C41" t="s">
        <v>126</v>
      </c>
      <c r="D41" t="s">
        <v>23</v>
      </c>
      <c r="E41" t="str">
        <f>VLOOKUP(D41,Catalogo!$A$1:$B$10,2)</f>
        <v>LightTree Innovations</v>
      </c>
      <c r="F41" t="s">
        <v>127</v>
      </c>
      <c r="G41" t="s">
        <v>25</v>
      </c>
      <c r="I41" t="s">
        <v>46</v>
      </c>
      <c r="J41" t="s">
        <v>47</v>
      </c>
      <c r="K41" t="s">
        <v>76</v>
      </c>
      <c r="L41" t="s">
        <v>47</v>
      </c>
      <c r="M41" t="s">
        <v>76</v>
      </c>
      <c r="N41">
        <v>56</v>
      </c>
      <c r="O41" t="s">
        <v>31</v>
      </c>
      <c r="P41">
        <v>3080</v>
      </c>
      <c r="Q41" t="s">
        <v>32</v>
      </c>
      <c r="R41">
        <v>1</v>
      </c>
      <c r="U41" t="s">
        <v>130</v>
      </c>
      <c r="V41">
        <v>55</v>
      </c>
      <c r="W41">
        <v>65.45</v>
      </c>
    </row>
    <row r="42" spans="1:23" hidden="1" x14ac:dyDescent="0.25">
      <c r="A42">
        <v>1000567244</v>
      </c>
      <c r="B42" t="s">
        <v>106</v>
      </c>
      <c r="C42" t="s">
        <v>117</v>
      </c>
      <c r="D42" t="s">
        <v>23</v>
      </c>
      <c r="E42" t="str">
        <f>VLOOKUP(D42,Catalogo!$A$1:$B$10,2)</f>
        <v>LightTree Innovations</v>
      </c>
      <c r="F42" t="s">
        <v>118</v>
      </c>
      <c r="G42" t="s">
        <v>25</v>
      </c>
      <c r="I42" t="s">
        <v>46</v>
      </c>
      <c r="J42" t="s">
        <v>47</v>
      </c>
      <c r="K42" t="s">
        <v>76</v>
      </c>
      <c r="L42" t="s">
        <v>47</v>
      </c>
      <c r="M42" t="s">
        <v>76</v>
      </c>
      <c r="N42">
        <v>56</v>
      </c>
      <c r="O42" t="s">
        <v>31</v>
      </c>
      <c r="P42">
        <v>1064</v>
      </c>
      <c r="Q42" t="s">
        <v>32</v>
      </c>
      <c r="R42">
        <v>1</v>
      </c>
      <c r="U42" t="s">
        <v>131</v>
      </c>
      <c r="V42">
        <v>19</v>
      </c>
      <c r="W42">
        <v>22.61</v>
      </c>
    </row>
    <row r="43" spans="1:23" hidden="1" x14ac:dyDescent="0.25">
      <c r="A43">
        <v>1000567248</v>
      </c>
      <c r="B43" t="s">
        <v>106</v>
      </c>
      <c r="C43" t="s">
        <v>132</v>
      </c>
      <c r="D43" t="s">
        <v>23</v>
      </c>
      <c r="E43" t="str">
        <f>VLOOKUP(D43,Catalogo!$A$1:$B$10,2)</f>
        <v>LightTree Innovations</v>
      </c>
      <c r="F43" t="s">
        <v>133</v>
      </c>
      <c r="G43" t="s">
        <v>25</v>
      </c>
      <c r="I43" t="s">
        <v>122</v>
      </c>
      <c r="J43" t="s">
        <v>123</v>
      </c>
      <c r="K43" t="s">
        <v>124</v>
      </c>
      <c r="L43" t="s">
        <v>123</v>
      </c>
      <c r="M43" t="s">
        <v>124</v>
      </c>
      <c r="N43">
        <v>512</v>
      </c>
      <c r="O43" t="s">
        <v>31</v>
      </c>
      <c r="P43">
        <v>179200</v>
      </c>
      <c r="Q43" t="s">
        <v>32</v>
      </c>
      <c r="R43">
        <v>1</v>
      </c>
      <c r="U43" t="s">
        <v>134</v>
      </c>
      <c r="V43">
        <v>350</v>
      </c>
      <c r="W43">
        <v>416.5</v>
      </c>
    </row>
    <row r="44" spans="1:23" hidden="1" x14ac:dyDescent="0.25">
      <c r="A44">
        <v>1000567251</v>
      </c>
      <c r="B44" t="s">
        <v>106</v>
      </c>
      <c r="C44" t="s">
        <v>135</v>
      </c>
      <c r="D44" t="s">
        <v>23</v>
      </c>
      <c r="E44" t="str">
        <f>VLOOKUP(D44,Catalogo!$A$1:$B$10,2)</f>
        <v>LightTree Innovations</v>
      </c>
      <c r="F44" t="s">
        <v>136</v>
      </c>
      <c r="G44" t="s">
        <v>25</v>
      </c>
      <c r="I44" t="s">
        <v>47</v>
      </c>
      <c r="J44" t="s">
        <v>115</v>
      </c>
      <c r="K44" t="s">
        <v>58</v>
      </c>
      <c r="N44">
        <v>44</v>
      </c>
      <c r="O44" t="s">
        <v>31</v>
      </c>
      <c r="P44">
        <v>4752</v>
      </c>
      <c r="Q44" t="s">
        <v>32</v>
      </c>
      <c r="R44">
        <v>1</v>
      </c>
      <c r="U44" t="s">
        <v>137</v>
      </c>
      <c r="V44">
        <v>108</v>
      </c>
      <c r="W44">
        <v>128.52000000000001</v>
      </c>
    </row>
    <row r="45" spans="1:23" hidden="1" x14ac:dyDescent="0.25">
      <c r="A45">
        <v>1000567254</v>
      </c>
      <c r="B45" t="s">
        <v>106</v>
      </c>
      <c r="C45" t="s">
        <v>138</v>
      </c>
      <c r="D45" t="s">
        <v>23</v>
      </c>
      <c r="E45" t="str">
        <f>VLOOKUP(D45,Catalogo!$A$1:$B$10,2)</f>
        <v>LightTree Innovations</v>
      </c>
      <c r="F45" t="s">
        <v>139</v>
      </c>
      <c r="G45" t="s">
        <v>25</v>
      </c>
      <c r="I45" t="s">
        <v>122</v>
      </c>
      <c r="J45" t="s">
        <v>123</v>
      </c>
      <c r="K45" t="s">
        <v>124</v>
      </c>
      <c r="L45" t="s">
        <v>123</v>
      </c>
      <c r="M45" t="s">
        <v>124</v>
      </c>
      <c r="N45">
        <v>512</v>
      </c>
      <c r="O45" t="s">
        <v>31</v>
      </c>
      <c r="P45">
        <v>745472</v>
      </c>
      <c r="Q45" t="s">
        <v>32</v>
      </c>
      <c r="R45">
        <v>1</v>
      </c>
      <c r="U45" t="s">
        <v>140</v>
      </c>
      <c r="V45">
        <v>1456</v>
      </c>
      <c r="W45">
        <v>1732.64</v>
      </c>
    </row>
    <row r="46" spans="1:23" hidden="1" x14ac:dyDescent="0.25">
      <c r="A46">
        <v>1000567255</v>
      </c>
      <c r="B46" t="s">
        <v>106</v>
      </c>
      <c r="C46" t="s">
        <v>141</v>
      </c>
      <c r="D46" t="s">
        <v>23</v>
      </c>
      <c r="E46" t="str">
        <f>VLOOKUP(D46,Catalogo!$A$1:$B$10,2)</f>
        <v>LightTree Innovations</v>
      </c>
      <c r="F46" t="s">
        <v>142</v>
      </c>
      <c r="G46" t="s">
        <v>25</v>
      </c>
      <c r="I46" t="s">
        <v>46</v>
      </c>
      <c r="J46" t="s">
        <v>47</v>
      </c>
      <c r="K46" t="s">
        <v>76</v>
      </c>
      <c r="L46" t="s">
        <v>47</v>
      </c>
      <c r="M46" t="s">
        <v>76</v>
      </c>
      <c r="N46">
        <v>56</v>
      </c>
      <c r="O46" t="s">
        <v>31</v>
      </c>
      <c r="P46">
        <v>17920</v>
      </c>
      <c r="Q46" t="s">
        <v>32</v>
      </c>
      <c r="R46">
        <v>1</v>
      </c>
      <c r="U46" t="s">
        <v>143</v>
      </c>
      <c r="V46">
        <v>320</v>
      </c>
      <c r="W46">
        <v>380.8</v>
      </c>
    </row>
    <row r="47" spans="1:23" hidden="1" x14ac:dyDescent="0.25">
      <c r="A47">
        <v>1000567262</v>
      </c>
      <c r="B47" t="s">
        <v>106</v>
      </c>
      <c r="C47" t="s">
        <v>110</v>
      </c>
      <c r="D47" t="s">
        <v>23</v>
      </c>
      <c r="E47" t="str">
        <f>VLOOKUP(D47,Catalogo!$A$1:$B$10,2)</f>
        <v>LightTree Innovations</v>
      </c>
      <c r="F47" t="s">
        <v>111</v>
      </c>
      <c r="G47" t="s">
        <v>25</v>
      </c>
      <c r="I47" t="s">
        <v>122</v>
      </c>
      <c r="J47" t="s">
        <v>123</v>
      </c>
      <c r="K47" t="s">
        <v>124</v>
      </c>
      <c r="L47" t="s">
        <v>123</v>
      </c>
      <c r="M47" t="s">
        <v>124</v>
      </c>
      <c r="N47">
        <v>512</v>
      </c>
      <c r="O47" t="s">
        <v>31</v>
      </c>
      <c r="P47">
        <v>2560</v>
      </c>
      <c r="Q47" t="s">
        <v>32</v>
      </c>
      <c r="R47">
        <v>1</v>
      </c>
      <c r="U47" t="s">
        <v>144</v>
      </c>
      <c r="V47">
        <v>5</v>
      </c>
      <c r="W47">
        <v>5.9499999999999993</v>
      </c>
    </row>
    <row r="48" spans="1:23" hidden="1" x14ac:dyDescent="0.25">
      <c r="A48">
        <v>1000567264</v>
      </c>
      <c r="B48" t="s">
        <v>106</v>
      </c>
      <c r="C48" t="s">
        <v>141</v>
      </c>
      <c r="D48" t="s">
        <v>23</v>
      </c>
      <c r="E48" t="str">
        <f>VLOOKUP(D48,Catalogo!$A$1:$B$10,2)</f>
        <v>LightTree Innovations</v>
      </c>
      <c r="F48" t="s">
        <v>142</v>
      </c>
      <c r="G48" t="s">
        <v>25</v>
      </c>
      <c r="I48" t="s">
        <v>47</v>
      </c>
      <c r="J48" t="s">
        <v>115</v>
      </c>
      <c r="K48" t="s">
        <v>58</v>
      </c>
      <c r="N48">
        <v>44</v>
      </c>
      <c r="O48" t="s">
        <v>31</v>
      </c>
      <c r="P48">
        <v>15400</v>
      </c>
      <c r="Q48" t="s">
        <v>32</v>
      </c>
      <c r="R48">
        <v>1</v>
      </c>
      <c r="U48" t="s">
        <v>145</v>
      </c>
      <c r="V48">
        <v>350</v>
      </c>
      <c r="W48">
        <v>416.5</v>
      </c>
    </row>
    <row r="49" spans="1:23" hidden="1" x14ac:dyDescent="0.25">
      <c r="A49">
        <v>1000567268</v>
      </c>
      <c r="B49" t="s">
        <v>106</v>
      </c>
      <c r="C49" t="s">
        <v>117</v>
      </c>
      <c r="D49" t="s">
        <v>23</v>
      </c>
      <c r="E49" t="str">
        <f>VLOOKUP(D49,Catalogo!$A$1:$B$10,2)</f>
        <v>LightTree Innovations</v>
      </c>
      <c r="F49" t="s">
        <v>118</v>
      </c>
      <c r="G49" t="s">
        <v>25</v>
      </c>
      <c r="I49" t="s">
        <v>122</v>
      </c>
      <c r="J49" t="s">
        <v>123</v>
      </c>
      <c r="K49" t="s">
        <v>124</v>
      </c>
      <c r="L49" t="s">
        <v>123</v>
      </c>
      <c r="M49" t="s">
        <v>124</v>
      </c>
      <c r="N49">
        <v>512</v>
      </c>
      <c r="O49" t="s">
        <v>31</v>
      </c>
      <c r="P49">
        <v>9728</v>
      </c>
      <c r="Q49" t="s">
        <v>32</v>
      </c>
      <c r="R49">
        <v>1</v>
      </c>
      <c r="U49" t="s">
        <v>146</v>
      </c>
      <c r="V49">
        <v>19</v>
      </c>
      <c r="W49">
        <v>22.61</v>
      </c>
    </row>
    <row r="50" spans="1:23" hidden="1" x14ac:dyDescent="0.25">
      <c r="A50">
        <v>1000567286</v>
      </c>
      <c r="B50" t="s">
        <v>106</v>
      </c>
      <c r="C50" t="s">
        <v>138</v>
      </c>
      <c r="D50" t="s">
        <v>23</v>
      </c>
      <c r="E50" t="str">
        <f>VLOOKUP(D50,Catalogo!$A$1:$B$10,2)</f>
        <v>LightTree Innovations</v>
      </c>
      <c r="F50" t="s">
        <v>139</v>
      </c>
      <c r="G50" t="s">
        <v>25</v>
      </c>
      <c r="I50" t="s">
        <v>47</v>
      </c>
      <c r="J50" t="s">
        <v>115</v>
      </c>
      <c r="K50" t="s">
        <v>58</v>
      </c>
      <c r="L50" t="s">
        <v>115</v>
      </c>
      <c r="N50">
        <v>44</v>
      </c>
      <c r="O50" t="s">
        <v>31</v>
      </c>
      <c r="P50">
        <v>56628</v>
      </c>
      <c r="Q50" t="s">
        <v>32</v>
      </c>
      <c r="R50">
        <v>1</v>
      </c>
      <c r="U50" t="s">
        <v>147</v>
      </c>
      <c r="V50">
        <v>1287</v>
      </c>
      <c r="W50">
        <v>1531.53</v>
      </c>
    </row>
    <row r="51" spans="1:23" hidden="1" x14ac:dyDescent="0.25">
      <c r="A51">
        <v>1000567287</v>
      </c>
      <c r="B51" t="s">
        <v>106</v>
      </c>
      <c r="C51" t="s">
        <v>148</v>
      </c>
      <c r="D51" t="s">
        <v>23</v>
      </c>
      <c r="E51" t="str">
        <f>VLOOKUP(D51,Catalogo!$A$1:$B$10,2)</f>
        <v>LightTree Innovations</v>
      </c>
      <c r="F51" t="s">
        <v>149</v>
      </c>
      <c r="G51" t="s">
        <v>25</v>
      </c>
      <c r="I51" t="s">
        <v>122</v>
      </c>
      <c r="J51" t="s">
        <v>123</v>
      </c>
      <c r="K51" t="s">
        <v>124</v>
      </c>
      <c r="L51" t="s">
        <v>123</v>
      </c>
      <c r="M51" t="s">
        <v>124</v>
      </c>
      <c r="N51">
        <v>512</v>
      </c>
      <c r="O51" t="s">
        <v>31</v>
      </c>
      <c r="P51">
        <v>210944</v>
      </c>
      <c r="Q51" t="s">
        <v>32</v>
      </c>
      <c r="R51">
        <v>1</v>
      </c>
      <c r="U51" t="s">
        <v>150</v>
      </c>
      <c r="V51">
        <v>412</v>
      </c>
      <c r="W51">
        <v>490.28</v>
      </c>
    </row>
    <row r="52" spans="1:23" hidden="1" x14ac:dyDescent="0.25">
      <c r="A52">
        <v>1000567294</v>
      </c>
      <c r="B52" t="s">
        <v>106</v>
      </c>
      <c r="C52" t="s">
        <v>113</v>
      </c>
      <c r="D52" t="s">
        <v>23</v>
      </c>
      <c r="E52" t="str">
        <f>VLOOKUP(D52,Catalogo!$A$1:$B$10,2)</f>
        <v>LightTree Innovations</v>
      </c>
      <c r="F52" t="s">
        <v>114</v>
      </c>
      <c r="G52" t="s">
        <v>25</v>
      </c>
      <c r="I52" t="s">
        <v>151</v>
      </c>
      <c r="J52" t="s">
        <v>152</v>
      </c>
      <c r="K52" t="s">
        <v>153</v>
      </c>
      <c r="L52" t="s">
        <v>153</v>
      </c>
      <c r="M52" t="s">
        <v>154</v>
      </c>
      <c r="N52">
        <v>75</v>
      </c>
      <c r="O52" t="s">
        <v>31</v>
      </c>
      <c r="P52">
        <v>34125</v>
      </c>
      <c r="Q52" t="s">
        <v>32</v>
      </c>
      <c r="R52">
        <v>1</v>
      </c>
      <c r="U52" t="s">
        <v>155</v>
      </c>
      <c r="V52">
        <v>455</v>
      </c>
      <c r="W52">
        <v>541.44999999999993</v>
      </c>
    </row>
    <row r="53" spans="1:23" hidden="1" x14ac:dyDescent="0.25">
      <c r="A53">
        <v>1000567306</v>
      </c>
      <c r="B53" t="s">
        <v>106</v>
      </c>
      <c r="C53" t="s">
        <v>110</v>
      </c>
      <c r="D53" t="s">
        <v>23</v>
      </c>
      <c r="E53" t="str">
        <f>VLOOKUP(D53,Catalogo!$A$1:$B$10,2)</f>
        <v>LightTree Innovations</v>
      </c>
      <c r="F53" t="s">
        <v>111</v>
      </c>
      <c r="G53" t="s">
        <v>25</v>
      </c>
      <c r="I53" t="s">
        <v>122</v>
      </c>
      <c r="J53" t="s">
        <v>123</v>
      </c>
      <c r="K53" t="s">
        <v>124</v>
      </c>
      <c r="L53" t="s">
        <v>123</v>
      </c>
      <c r="M53" t="s">
        <v>124</v>
      </c>
      <c r="N53">
        <v>512</v>
      </c>
      <c r="O53" t="s">
        <v>31</v>
      </c>
      <c r="P53">
        <v>1536</v>
      </c>
      <c r="Q53" t="s">
        <v>32</v>
      </c>
      <c r="R53">
        <v>1</v>
      </c>
      <c r="U53" t="s">
        <v>156</v>
      </c>
      <c r="V53">
        <v>3</v>
      </c>
      <c r="W53">
        <v>3.57</v>
      </c>
    </row>
    <row r="54" spans="1:23" hidden="1" x14ac:dyDescent="0.25">
      <c r="A54">
        <v>1000567310</v>
      </c>
      <c r="B54" t="s">
        <v>106</v>
      </c>
      <c r="C54" t="s">
        <v>157</v>
      </c>
      <c r="D54" t="s">
        <v>23</v>
      </c>
      <c r="E54" t="str">
        <f>VLOOKUP(D54,Catalogo!$A$1:$B$10,2)</f>
        <v>LightTree Innovations</v>
      </c>
      <c r="F54" t="s">
        <v>158</v>
      </c>
      <c r="G54" t="s">
        <v>25</v>
      </c>
      <c r="I54" t="s">
        <v>46</v>
      </c>
      <c r="J54" t="s">
        <v>47</v>
      </c>
      <c r="K54" t="s">
        <v>76</v>
      </c>
      <c r="L54" t="s">
        <v>47</v>
      </c>
      <c r="M54" t="s">
        <v>76</v>
      </c>
      <c r="N54">
        <v>56</v>
      </c>
      <c r="O54" t="s">
        <v>31</v>
      </c>
      <c r="P54">
        <v>2800</v>
      </c>
      <c r="Q54" t="s">
        <v>32</v>
      </c>
      <c r="R54">
        <v>1</v>
      </c>
      <c r="U54" t="s">
        <v>159</v>
      </c>
      <c r="V54">
        <v>50</v>
      </c>
      <c r="W54">
        <v>59.5</v>
      </c>
    </row>
    <row r="55" spans="1:23" hidden="1" x14ac:dyDescent="0.25">
      <c r="A55">
        <v>1000567311</v>
      </c>
      <c r="B55" t="s">
        <v>106</v>
      </c>
      <c r="C55" t="s">
        <v>160</v>
      </c>
      <c r="D55" t="s">
        <v>23</v>
      </c>
      <c r="E55" t="str">
        <f>VLOOKUP(D55,Catalogo!$A$1:$B$10,2)</f>
        <v>LightTree Innovations</v>
      </c>
      <c r="F55" t="s">
        <v>161</v>
      </c>
      <c r="G55" t="s">
        <v>25</v>
      </c>
      <c r="I55" t="s">
        <v>151</v>
      </c>
      <c r="J55" t="s">
        <v>152</v>
      </c>
      <c r="K55" t="s">
        <v>153</v>
      </c>
      <c r="L55" t="s">
        <v>152</v>
      </c>
      <c r="M55" t="s">
        <v>153</v>
      </c>
      <c r="N55">
        <v>75</v>
      </c>
      <c r="O55" t="s">
        <v>31</v>
      </c>
      <c r="P55">
        <v>1800</v>
      </c>
      <c r="Q55" t="s">
        <v>32</v>
      </c>
      <c r="R55">
        <v>1</v>
      </c>
      <c r="U55" t="s">
        <v>162</v>
      </c>
      <c r="V55">
        <v>24</v>
      </c>
      <c r="W55">
        <v>28.56</v>
      </c>
    </row>
    <row r="56" spans="1:23" hidden="1" x14ac:dyDescent="0.25">
      <c r="A56">
        <v>1000567313</v>
      </c>
      <c r="B56" t="s">
        <v>106</v>
      </c>
      <c r="C56" t="s">
        <v>157</v>
      </c>
      <c r="D56" t="s">
        <v>23</v>
      </c>
      <c r="E56" t="str">
        <f>VLOOKUP(D56,Catalogo!$A$1:$B$10,2)</f>
        <v>LightTree Innovations</v>
      </c>
      <c r="F56" t="s">
        <v>158</v>
      </c>
      <c r="G56" t="s">
        <v>25</v>
      </c>
      <c r="I56" t="s">
        <v>122</v>
      </c>
      <c r="J56" t="s">
        <v>123</v>
      </c>
      <c r="K56" t="s">
        <v>124</v>
      </c>
      <c r="L56" t="s">
        <v>123</v>
      </c>
      <c r="M56" t="s">
        <v>124</v>
      </c>
      <c r="N56">
        <v>512</v>
      </c>
      <c r="O56" t="s">
        <v>31</v>
      </c>
      <c r="P56">
        <v>25600</v>
      </c>
      <c r="Q56" t="s">
        <v>32</v>
      </c>
      <c r="R56">
        <v>1</v>
      </c>
      <c r="U56" t="s">
        <v>163</v>
      </c>
      <c r="V56">
        <v>50</v>
      </c>
      <c r="W56">
        <v>59.5</v>
      </c>
    </row>
    <row r="57" spans="1:23" hidden="1" x14ac:dyDescent="0.25">
      <c r="A57">
        <v>1000567318</v>
      </c>
      <c r="B57" t="s">
        <v>106</v>
      </c>
      <c r="C57" t="s">
        <v>110</v>
      </c>
      <c r="D57" t="s">
        <v>23</v>
      </c>
      <c r="E57" t="str">
        <f>VLOOKUP(D57,Catalogo!$A$1:$B$10,2)</f>
        <v>LightTree Innovations</v>
      </c>
      <c r="F57" t="s">
        <v>111</v>
      </c>
      <c r="G57" t="s">
        <v>25</v>
      </c>
      <c r="I57" t="s">
        <v>46</v>
      </c>
      <c r="J57" t="s">
        <v>47</v>
      </c>
      <c r="K57" t="s">
        <v>76</v>
      </c>
      <c r="L57" t="s">
        <v>47</v>
      </c>
      <c r="M57" t="s">
        <v>76</v>
      </c>
      <c r="N57">
        <v>56</v>
      </c>
      <c r="O57" t="s">
        <v>31</v>
      </c>
      <c r="P57">
        <v>280</v>
      </c>
      <c r="Q57" t="s">
        <v>32</v>
      </c>
      <c r="R57">
        <v>1</v>
      </c>
      <c r="U57" t="s">
        <v>164</v>
      </c>
      <c r="V57">
        <v>5</v>
      </c>
      <c r="W57">
        <v>5.9499999999999993</v>
      </c>
    </row>
    <row r="58" spans="1:23" hidden="1" x14ac:dyDescent="0.25">
      <c r="A58">
        <v>1000567320</v>
      </c>
      <c r="B58" t="s">
        <v>106</v>
      </c>
      <c r="C58" t="s">
        <v>138</v>
      </c>
      <c r="D58" t="s">
        <v>23</v>
      </c>
      <c r="E58" t="str">
        <f>VLOOKUP(D58,Catalogo!$A$1:$B$10,2)</f>
        <v>LightTree Innovations</v>
      </c>
      <c r="F58" t="s">
        <v>139</v>
      </c>
      <c r="G58" t="s">
        <v>25</v>
      </c>
      <c r="I58" t="s">
        <v>46</v>
      </c>
      <c r="J58" t="s">
        <v>47</v>
      </c>
      <c r="K58" t="s">
        <v>76</v>
      </c>
      <c r="L58" t="s">
        <v>47</v>
      </c>
      <c r="M58" t="s">
        <v>76</v>
      </c>
      <c r="N58">
        <v>56</v>
      </c>
      <c r="O58" t="s">
        <v>31</v>
      </c>
      <c r="P58">
        <v>81536</v>
      </c>
      <c r="Q58" t="s">
        <v>32</v>
      </c>
      <c r="R58">
        <v>1</v>
      </c>
      <c r="U58" t="s">
        <v>165</v>
      </c>
      <c r="V58">
        <v>1456</v>
      </c>
      <c r="W58">
        <v>1732.64</v>
      </c>
    </row>
    <row r="59" spans="1:23" hidden="1" x14ac:dyDescent="0.25">
      <c r="A59">
        <v>1000567323</v>
      </c>
      <c r="B59" t="s">
        <v>106</v>
      </c>
      <c r="C59" t="s">
        <v>166</v>
      </c>
      <c r="D59" t="s">
        <v>23</v>
      </c>
      <c r="E59" t="str">
        <f>VLOOKUP(D59,Catalogo!$A$1:$B$10,2)</f>
        <v>LightTree Innovations</v>
      </c>
      <c r="F59" t="s">
        <v>167</v>
      </c>
      <c r="G59" t="s">
        <v>25</v>
      </c>
      <c r="I59" t="s">
        <v>151</v>
      </c>
      <c r="J59" t="s">
        <v>152</v>
      </c>
      <c r="K59" t="s">
        <v>153</v>
      </c>
      <c r="L59" t="s">
        <v>152</v>
      </c>
      <c r="M59" t="s">
        <v>153</v>
      </c>
      <c r="N59">
        <v>75</v>
      </c>
      <c r="O59" t="s">
        <v>31</v>
      </c>
      <c r="P59">
        <v>58050</v>
      </c>
      <c r="Q59" t="s">
        <v>32</v>
      </c>
      <c r="R59">
        <v>1</v>
      </c>
      <c r="U59" t="s">
        <v>168</v>
      </c>
      <c r="V59">
        <v>774</v>
      </c>
      <c r="W59">
        <v>921.06</v>
      </c>
    </row>
    <row r="60" spans="1:23" hidden="1" x14ac:dyDescent="0.25">
      <c r="A60">
        <v>1000567324</v>
      </c>
      <c r="B60" t="s">
        <v>106</v>
      </c>
      <c r="C60" t="s">
        <v>169</v>
      </c>
      <c r="D60" t="s">
        <v>23</v>
      </c>
      <c r="E60" t="str">
        <f>VLOOKUP(D60,Catalogo!$A$1:$B$10,2)</f>
        <v>LightTree Innovations</v>
      </c>
      <c r="F60" t="s">
        <v>170</v>
      </c>
      <c r="G60" t="s">
        <v>25</v>
      </c>
      <c r="I60" t="s">
        <v>151</v>
      </c>
      <c r="J60" t="s">
        <v>152</v>
      </c>
      <c r="K60" t="s">
        <v>153</v>
      </c>
      <c r="L60" t="s">
        <v>152</v>
      </c>
      <c r="M60" t="s">
        <v>153</v>
      </c>
      <c r="N60">
        <v>75</v>
      </c>
      <c r="O60" t="s">
        <v>31</v>
      </c>
      <c r="P60">
        <v>96750</v>
      </c>
      <c r="Q60" t="s">
        <v>32</v>
      </c>
      <c r="R60">
        <v>1</v>
      </c>
      <c r="U60" t="s">
        <v>171</v>
      </c>
      <c r="V60">
        <v>1290</v>
      </c>
      <c r="W60">
        <v>1535.1</v>
      </c>
    </row>
    <row r="61" spans="1:23" hidden="1" x14ac:dyDescent="0.25">
      <c r="A61">
        <v>1000567325</v>
      </c>
      <c r="B61" t="s">
        <v>106</v>
      </c>
      <c r="C61" t="s">
        <v>141</v>
      </c>
      <c r="D61" t="s">
        <v>23</v>
      </c>
      <c r="E61" t="str">
        <f>VLOOKUP(D61,Catalogo!$A$1:$B$10,2)</f>
        <v>LightTree Innovations</v>
      </c>
      <c r="F61" t="s">
        <v>142</v>
      </c>
      <c r="G61" t="s">
        <v>25</v>
      </c>
      <c r="I61" t="s">
        <v>122</v>
      </c>
      <c r="J61" t="s">
        <v>123</v>
      </c>
      <c r="K61" t="s">
        <v>124</v>
      </c>
      <c r="L61" t="s">
        <v>123</v>
      </c>
      <c r="M61" t="s">
        <v>124</v>
      </c>
      <c r="N61">
        <v>512</v>
      </c>
      <c r="O61" t="s">
        <v>31</v>
      </c>
      <c r="P61">
        <v>163840</v>
      </c>
      <c r="Q61" t="s">
        <v>32</v>
      </c>
      <c r="R61">
        <v>1</v>
      </c>
      <c r="U61" t="s">
        <v>172</v>
      </c>
      <c r="V61">
        <v>320</v>
      </c>
      <c r="W61">
        <v>380.8</v>
      </c>
    </row>
    <row r="62" spans="1:23" hidden="1" x14ac:dyDescent="0.25">
      <c r="A62">
        <v>1000567326</v>
      </c>
      <c r="B62" t="s">
        <v>106</v>
      </c>
      <c r="C62" t="s">
        <v>148</v>
      </c>
      <c r="D62" t="s">
        <v>23</v>
      </c>
      <c r="E62" t="str">
        <f>VLOOKUP(D62,Catalogo!$A$1:$B$10,2)</f>
        <v>LightTree Innovations</v>
      </c>
      <c r="F62" t="s">
        <v>149</v>
      </c>
      <c r="G62" t="s">
        <v>25</v>
      </c>
      <c r="I62" t="s">
        <v>151</v>
      </c>
      <c r="J62" t="s">
        <v>152</v>
      </c>
      <c r="K62" t="s">
        <v>153</v>
      </c>
      <c r="L62" t="s">
        <v>152</v>
      </c>
      <c r="M62" t="s">
        <v>153</v>
      </c>
      <c r="N62">
        <v>75</v>
      </c>
      <c r="O62" t="s">
        <v>31</v>
      </c>
      <c r="P62">
        <v>30900</v>
      </c>
      <c r="Q62" t="s">
        <v>32</v>
      </c>
      <c r="R62">
        <v>1</v>
      </c>
      <c r="U62" t="s">
        <v>173</v>
      </c>
      <c r="V62">
        <v>412</v>
      </c>
      <c r="W62">
        <v>490.28</v>
      </c>
    </row>
    <row r="63" spans="1:23" hidden="1" x14ac:dyDescent="0.25">
      <c r="A63">
        <v>1000567332</v>
      </c>
      <c r="B63" t="s">
        <v>106</v>
      </c>
      <c r="C63" t="s">
        <v>135</v>
      </c>
      <c r="D63" t="s">
        <v>23</v>
      </c>
      <c r="E63" t="str">
        <f>VLOOKUP(D63,Catalogo!$A$1:$B$10,2)</f>
        <v>LightTree Innovations</v>
      </c>
      <c r="F63" t="s">
        <v>136</v>
      </c>
      <c r="G63" t="s">
        <v>25</v>
      </c>
      <c r="I63" t="s">
        <v>122</v>
      </c>
      <c r="J63" t="s">
        <v>123</v>
      </c>
      <c r="K63" t="s">
        <v>124</v>
      </c>
      <c r="L63" t="s">
        <v>123</v>
      </c>
      <c r="M63" t="s">
        <v>124</v>
      </c>
      <c r="N63">
        <v>124</v>
      </c>
      <c r="O63" t="s">
        <v>31</v>
      </c>
      <c r="P63">
        <v>13392</v>
      </c>
      <c r="Q63" t="s">
        <v>32</v>
      </c>
      <c r="R63">
        <v>1</v>
      </c>
      <c r="U63" t="s">
        <v>174</v>
      </c>
      <c r="V63">
        <v>108</v>
      </c>
      <c r="W63">
        <v>128.52000000000001</v>
      </c>
    </row>
    <row r="64" spans="1:23" hidden="1" x14ac:dyDescent="0.25">
      <c r="A64">
        <v>1000567334</v>
      </c>
      <c r="B64" t="s">
        <v>106</v>
      </c>
      <c r="C64" t="s">
        <v>138</v>
      </c>
      <c r="D64" t="s">
        <v>23</v>
      </c>
      <c r="E64" t="str">
        <f>VLOOKUP(D64,Catalogo!$A$1:$B$10,2)</f>
        <v>LightTree Innovations</v>
      </c>
      <c r="F64" t="s">
        <v>139</v>
      </c>
      <c r="G64" t="s">
        <v>25</v>
      </c>
      <c r="I64" t="s">
        <v>151</v>
      </c>
      <c r="J64" t="s">
        <v>152</v>
      </c>
      <c r="K64" t="s">
        <v>153</v>
      </c>
      <c r="L64" t="s">
        <v>152</v>
      </c>
      <c r="M64" t="s">
        <v>153</v>
      </c>
      <c r="N64">
        <v>75</v>
      </c>
      <c r="O64" t="s">
        <v>31</v>
      </c>
      <c r="P64">
        <v>96525</v>
      </c>
      <c r="Q64" t="s">
        <v>32</v>
      </c>
      <c r="R64">
        <v>1</v>
      </c>
      <c r="U64" t="s">
        <v>175</v>
      </c>
      <c r="V64">
        <v>1287</v>
      </c>
      <c r="W64">
        <v>1531.53</v>
      </c>
    </row>
    <row r="65" spans="1:23" hidden="1" x14ac:dyDescent="0.25">
      <c r="A65">
        <v>1000567335</v>
      </c>
      <c r="B65" t="s">
        <v>106</v>
      </c>
      <c r="C65" t="s">
        <v>176</v>
      </c>
      <c r="D65" t="s">
        <v>23</v>
      </c>
      <c r="E65" t="str">
        <f>VLOOKUP(D65,Catalogo!$A$1:$B$10,2)</f>
        <v>LightTree Innovations</v>
      </c>
      <c r="F65" t="s">
        <v>177</v>
      </c>
      <c r="G65" t="s">
        <v>25</v>
      </c>
      <c r="I65" t="s">
        <v>122</v>
      </c>
      <c r="J65" t="s">
        <v>123</v>
      </c>
      <c r="K65" t="s">
        <v>124</v>
      </c>
      <c r="L65" t="s">
        <v>151</v>
      </c>
      <c r="M65" t="s">
        <v>73</v>
      </c>
      <c r="N65">
        <v>512</v>
      </c>
      <c r="O65" t="s">
        <v>31</v>
      </c>
      <c r="P65">
        <v>97280</v>
      </c>
      <c r="Q65" t="s">
        <v>32</v>
      </c>
      <c r="R65">
        <v>1</v>
      </c>
      <c r="U65" t="s">
        <v>178</v>
      </c>
      <c r="V65">
        <v>190</v>
      </c>
      <c r="W65">
        <v>226.1</v>
      </c>
    </row>
    <row r="66" spans="1:23" hidden="1" x14ac:dyDescent="0.25">
      <c r="A66">
        <v>1000567338</v>
      </c>
      <c r="B66" t="s">
        <v>106</v>
      </c>
      <c r="C66" t="s">
        <v>135</v>
      </c>
      <c r="D66" t="s">
        <v>23</v>
      </c>
      <c r="E66" t="str">
        <f>VLOOKUP(D66,Catalogo!$A$1:$B$10,2)</f>
        <v>LightTree Innovations</v>
      </c>
      <c r="F66" t="s">
        <v>136</v>
      </c>
      <c r="G66" t="s">
        <v>25</v>
      </c>
      <c r="I66" t="s">
        <v>122</v>
      </c>
      <c r="J66" t="s">
        <v>123</v>
      </c>
      <c r="K66" t="s">
        <v>124</v>
      </c>
      <c r="L66" t="s">
        <v>123</v>
      </c>
      <c r="M66" t="s">
        <v>124</v>
      </c>
      <c r="N66">
        <v>512</v>
      </c>
      <c r="O66" t="s">
        <v>31</v>
      </c>
      <c r="P66">
        <v>48640</v>
      </c>
      <c r="Q66" t="s">
        <v>32</v>
      </c>
      <c r="R66">
        <v>1</v>
      </c>
      <c r="U66" t="s">
        <v>179</v>
      </c>
      <c r="V66">
        <v>95</v>
      </c>
      <c r="W66">
        <v>113.05</v>
      </c>
    </row>
    <row r="67" spans="1:23" hidden="1" x14ac:dyDescent="0.25">
      <c r="A67">
        <v>1000567340</v>
      </c>
      <c r="B67" t="s">
        <v>106</v>
      </c>
      <c r="C67" t="s">
        <v>113</v>
      </c>
      <c r="D67" t="s">
        <v>23</v>
      </c>
      <c r="E67" t="str">
        <f>VLOOKUP(D67,Catalogo!$A$1:$B$10,2)</f>
        <v>LightTree Innovations</v>
      </c>
      <c r="F67" t="s">
        <v>114</v>
      </c>
      <c r="G67" t="s">
        <v>25</v>
      </c>
      <c r="I67" t="s">
        <v>46</v>
      </c>
      <c r="J67" t="s">
        <v>47</v>
      </c>
      <c r="K67" t="s">
        <v>76</v>
      </c>
      <c r="L67" t="s">
        <v>49</v>
      </c>
      <c r="M67" t="s">
        <v>180</v>
      </c>
      <c r="N67">
        <v>56</v>
      </c>
      <c r="O67" t="s">
        <v>31</v>
      </c>
      <c r="P67">
        <v>25480</v>
      </c>
      <c r="Q67" t="s">
        <v>32</v>
      </c>
      <c r="R67">
        <v>1</v>
      </c>
      <c r="U67" t="s">
        <v>181</v>
      </c>
      <c r="V67">
        <v>455</v>
      </c>
      <c r="W67">
        <v>541.44999999999993</v>
      </c>
    </row>
    <row r="68" spans="1:23" hidden="1" x14ac:dyDescent="0.25">
      <c r="A68">
        <v>1000567342</v>
      </c>
      <c r="B68" t="s">
        <v>106</v>
      </c>
      <c r="C68" t="s">
        <v>148</v>
      </c>
      <c r="D68" t="s">
        <v>23</v>
      </c>
      <c r="E68" t="str">
        <f>VLOOKUP(D68,Catalogo!$A$1:$B$10,2)</f>
        <v>LightTree Innovations</v>
      </c>
      <c r="F68" t="s">
        <v>149</v>
      </c>
      <c r="G68" t="s">
        <v>25</v>
      </c>
      <c r="I68" t="s">
        <v>46</v>
      </c>
      <c r="J68" t="s">
        <v>47</v>
      </c>
      <c r="K68" t="s">
        <v>76</v>
      </c>
      <c r="L68" t="s">
        <v>47</v>
      </c>
      <c r="M68" t="s">
        <v>76</v>
      </c>
      <c r="N68">
        <v>56</v>
      </c>
      <c r="O68" t="s">
        <v>31</v>
      </c>
      <c r="P68">
        <v>23072</v>
      </c>
      <c r="Q68" t="s">
        <v>32</v>
      </c>
      <c r="R68">
        <v>1</v>
      </c>
      <c r="U68" t="s">
        <v>182</v>
      </c>
      <c r="V68">
        <v>412</v>
      </c>
      <c r="W68">
        <v>490.28</v>
      </c>
    </row>
    <row r="69" spans="1:23" hidden="1" x14ac:dyDescent="0.25">
      <c r="A69">
        <v>1000567349</v>
      </c>
      <c r="B69" t="s">
        <v>106</v>
      </c>
      <c r="C69" t="s">
        <v>148</v>
      </c>
      <c r="D69" t="s">
        <v>23</v>
      </c>
      <c r="E69" t="str">
        <f>VLOOKUP(D69,Catalogo!$A$1:$B$10,2)</f>
        <v>LightTree Innovations</v>
      </c>
      <c r="F69" t="s">
        <v>149</v>
      </c>
      <c r="G69" t="s">
        <v>25</v>
      </c>
      <c r="I69" t="s">
        <v>151</v>
      </c>
      <c r="J69" t="s">
        <v>152</v>
      </c>
      <c r="K69" t="s">
        <v>153</v>
      </c>
      <c r="L69" t="s">
        <v>152</v>
      </c>
      <c r="M69" t="s">
        <v>153</v>
      </c>
      <c r="N69">
        <v>75</v>
      </c>
      <c r="O69" t="s">
        <v>31</v>
      </c>
      <c r="P69">
        <v>31650</v>
      </c>
      <c r="Q69" t="s">
        <v>32</v>
      </c>
      <c r="R69">
        <v>1</v>
      </c>
      <c r="U69" t="s">
        <v>183</v>
      </c>
      <c r="V69">
        <v>422</v>
      </c>
      <c r="W69">
        <v>502.17999999999989</v>
      </c>
    </row>
    <row r="70" spans="1:23" hidden="1" x14ac:dyDescent="0.25">
      <c r="A70">
        <v>1000567350</v>
      </c>
      <c r="B70" t="s">
        <v>106</v>
      </c>
      <c r="C70" t="s">
        <v>107</v>
      </c>
      <c r="D70" t="s">
        <v>23</v>
      </c>
      <c r="E70" t="str">
        <f>VLOOKUP(D70,Catalogo!$A$1:$B$10,2)</f>
        <v>LightTree Innovations</v>
      </c>
      <c r="F70" t="s">
        <v>108</v>
      </c>
      <c r="G70" t="s">
        <v>25</v>
      </c>
      <c r="I70" t="s">
        <v>47</v>
      </c>
      <c r="J70" t="s">
        <v>115</v>
      </c>
      <c r="K70" t="s">
        <v>58</v>
      </c>
      <c r="L70" t="s">
        <v>115</v>
      </c>
      <c r="N70">
        <v>44</v>
      </c>
      <c r="O70" t="s">
        <v>31</v>
      </c>
      <c r="P70">
        <v>103356</v>
      </c>
      <c r="Q70" t="s">
        <v>32</v>
      </c>
      <c r="R70">
        <v>1</v>
      </c>
      <c r="U70" t="s">
        <v>184</v>
      </c>
      <c r="V70">
        <v>2349</v>
      </c>
      <c r="W70">
        <v>2795.31</v>
      </c>
    </row>
    <row r="71" spans="1:23" hidden="1" x14ac:dyDescent="0.25">
      <c r="A71">
        <v>1000567353</v>
      </c>
      <c r="B71" t="s">
        <v>106</v>
      </c>
      <c r="C71" t="s">
        <v>148</v>
      </c>
      <c r="D71" t="s">
        <v>23</v>
      </c>
      <c r="E71" t="str">
        <f>VLOOKUP(D71,Catalogo!$A$1:$B$10,2)</f>
        <v>LightTree Innovations</v>
      </c>
      <c r="F71" t="s">
        <v>149</v>
      </c>
      <c r="G71" t="s">
        <v>25</v>
      </c>
      <c r="I71" t="s">
        <v>47</v>
      </c>
      <c r="J71" t="s">
        <v>115</v>
      </c>
      <c r="K71" t="s">
        <v>58</v>
      </c>
      <c r="L71" t="s">
        <v>115</v>
      </c>
      <c r="N71">
        <v>44</v>
      </c>
      <c r="O71" t="s">
        <v>31</v>
      </c>
      <c r="P71">
        <v>18568</v>
      </c>
      <c r="Q71" t="s">
        <v>32</v>
      </c>
      <c r="R71">
        <v>1</v>
      </c>
      <c r="U71" t="s">
        <v>185</v>
      </c>
      <c r="V71">
        <v>422</v>
      </c>
      <c r="W71">
        <v>502.17999999999989</v>
      </c>
    </row>
    <row r="72" spans="1:23" hidden="1" x14ac:dyDescent="0.25">
      <c r="A72">
        <v>1000567356</v>
      </c>
      <c r="B72" t="s">
        <v>106</v>
      </c>
      <c r="C72" t="s">
        <v>186</v>
      </c>
      <c r="D72" t="s">
        <v>23</v>
      </c>
      <c r="E72" t="str">
        <f>VLOOKUP(D72,Catalogo!$A$1:$B$10,2)</f>
        <v>LightTree Innovations</v>
      </c>
      <c r="F72" t="s">
        <v>187</v>
      </c>
      <c r="G72" t="s">
        <v>25</v>
      </c>
      <c r="I72" t="s">
        <v>46</v>
      </c>
      <c r="J72" t="s">
        <v>47</v>
      </c>
      <c r="K72" t="s">
        <v>76</v>
      </c>
      <c r="L72" t="s">
        <v>47</v>
      </c>
      <c r="M72" t="s">
        <v>76</v>
      </c>
      <c r="N72">
        <v>56</v>
      </c>
      <c r="O72" t="s">
        <v>31</v>
      </c>
      <c r="P72">
        <v>6832</v>
      </c>
      <c r="Q72" t="s">
        <v>32</v>
      </c>
      <c r="R72">
        <v>1</v>
      </c>
      <c r="U72" t="s">
        <v>188</v>
      </c>
      <c r="V72">
        <v>122</v>
      </c>
      <c r="W72">
        <v>145.18</v>
      </c>
    </row>
    <row r="73" spans="1:23" hidden="1" x14ac:dyDescent="0.25">
      <c r="A73">
        <v>1000567363</v>
      </c>
      <c r="B73" t="s">
        <v>106</v>
      </c>
      <c r="C73" t="s">
        <v>176</v>
      </c>
      <c r="D73" t="s">
        <v>23</v>
      </c>
      <c r="E73" t="str">
        <f>VLOOKUP(D73,Catalogo!$A$1:$B$10,2)</f>
        <v>LightTree Innovations</v>
      </c>
      <c r="F73" t="s">
        <v>177</v>
      </c>
      <c r="G73" t="s">
        <v>25</v>
      </c>
      <c r="I73" t="s">
        <v>47</v>
      </c>
      <c r="J73" t="s">
        <v>115</v>
      </c>
      <c r="K73" t="s">
        <v>58</v>
      </c>
      <c r="L73" t="s">
        <v>115</v>
      </c>
      <c r="N73">
        <v>44</v>
      </c>
      <c r="O73" t="s">
        <v>31</v>
      </c>
      <c r="P73">
        <v>8932</v>
      </c>
      <c r="Q73" t="s">
        <v>32</v>
      </c>
      <c r="R73">
        <v>1</v>
      </c>
      <c r="U73" t="s">
        <v>189</v>
      </c>
      <c r="V73">
        <v>203</v>
      </c>
      <c r="W73">
        <v>241.57</v>
      </c>
    </row>
    <row r="74" spans="1:23" hidden="1" x14ac:dyDescent="0.25">
      <c r="A74">
        <v>1000567365</v>
      </c>
      <c r="B74" t="s">
        <v>106</v>
      </c>
      <c r="C74" t="s">
        <v>157</v>
      </c>
      <c r="D74" t="s">
        <v>23</v>
      </c>
      <c r="E74" t="str">
        <f>VLOOKUP(D74,Catalogo!$A$1:$B$10,2)</f>
        <v>LightTree Innovations</v>
      </c>
      <c r="F74" t="s">
        <v>158</v>
      </c>
      <c r="G74" t="s">
        <v>25</v>
      </c>
      <c r="I74" t="s">
        <v>151</v>
      </c>
      <c r="J74" t="s">
        <v>152</v>
      </c>
      <c r="K74" t="s">
        <v>153</v>
      </c>
      <c r="L74" t="s">
        <v>152</v>
      </c>
      <c r="M74" t="s">
        <v>153</v>
      </c>
      <c r="N74">
        <v>75</v>
      </c>
      <c r="O74" t="s">
        <v>31</v>
      </c>
      <c r="P74">
        <v>3750</v>
      </c>
      <c r="Q74" t="s">
        <v>32</v>
      </c>
      <c r="R74">
        <v>1</v>
      </c>
      <c r="U74" t="s">
        <v>190</v>
      </c>
      <c r="V74">
        <v>50</v>
      </c>
      <c r="W74">
        <v>59.5</v>
      </c>
    </row>
    <row r="75" spans="1:23" hidden="1" x14ac:dyDescent="0.25">
      <c r="A75">
        <v>1000567367</v>
      </c>
      <c r="B75" t="s">
        <v>106</v>
      </c>
      <c r="C75" t="s">
        <v>110</v>
      </c>
      <c r="D75" t="s">
        <v>23</v>
      </c>
      <c r="E75" t="str">
        <f>VLOOKUP(D75,Catalogo!$A$1:$B$10,2)</f>
        <v>LightTree Innovations</v>
      </c>
      <c r="F75" t="s">
        <v>111</v>
      </c>
      <c r="G75" t="s">
        <v>25</v>
      </c>
      <c r="I75" t="s">
        <v>151</v>
      </c>
      <c r="J75" t="s">
        <v>152</v>
      </c>
      <c r="K75" t="s">
        <v>153</v>
      </c>
      <c r="L75" t="s">
        <v>152</v>
      </c>
      <c r="M75" t="s">
        <v>153</v>
      </c>
      <c r="N75">
        <v>75</v>
      </c>
      <c r="O75" t="s">
        <v>31</v>
      </c>
      <c r="P75">
        <v>375</v>
      </c>
      <c r="Q75" t="s">
        <v>32</v>
      </c>
      <c r="R75">
        <v>1</v>
      </c>
      <c r="U75" t="s">
        <v>191</v>
      </c>
      <c r="V75">
        <v>5</v>
      </c>
      <c r="W75">
        <v>5.9499999999999993</v>
      </c>
    </row>
    <row r="76" spans="1:23" hidden="1" x14ac:dyDescent="0.25">
      <c r="A76">
        <v>1000567369</v>
      </c>
      <c r="B76" t="s">
        <v>106</v>
      </c>
      <c r="C76" t="s">
        <v>107</v>
      </c>
      <c r="D76" t="s">
        <v>23</v>
      </c>
      <c r="E76" t="str">
        <f>VLOOKUP(D76,Catalogo!$A$1:$B$10,2)</f>
        <v>LightTree Innovations</v>
      </c>
      <c r="F76" t="s">
        <v>108</v>
      </c>
      <c r="G76" t="s">
        <v>25</v>
      </c>
      <c r="I76" t="s">
        <v>151</v>
      </c>
      <c r="J76" t="s">
        <v>152</v>
      </c>
      <c r="K76" t="s">
        <v>153</v>
      </c>
      <c r="L76" t="s">
        <v>152</v>
      </c>
      <c r="M76" t="s">
        <v>153</v>
      </c>
      <c r="N76">
        <v>75</v>
      </c>
      <c r="O76" t="s">
        <v>31</v>
      </c>
      <c r="P76">
        <v>176175</v>
      </c>
      <c r="Q76" t="s">
        <v>32</v>
      </c>
      <c r="R76">
        <v>1</v>
      </c>
      <c r="U76" t="s">
        <v>192</v>
      </c>
      <c r="V76">
        <v>2349</v>
      </c>
      <c r="W76">
        <v>2795.31</v>
      </c>
    </row>
    <row r="77" spans="1:23" hidden="1" x14ac:dyDescent="0.25">
      <c r="A77">
        <v>1000567370</v>
      </c>
      <c r="B77" t="s">
        <v>106</v>
      </c>
      <c r="C77" t="s">
        <v>135</v>
      </c>
      <c r="D77" t="s">
        <v>23</v>
      </c>
      <c r="E77" t="str">
        <f>VLOOKUP(D77,Catalogo!$A$1:$B$10,2)</f>
        <v>LightTree Innovations</v>
      </c>
      <c r="F77" t="s">
        <v>136</v>
      </c>
      <c r="G77" t="s">
        <v>25</v>
      </c>
      <c r="I77" t="s">
        <v>46</v>
      </c>
      <c r="J77" t="s">
        <v>47</v>
      </c>
      <c r="K77" t="s">
        <v>76</v>
      </c>
      <c r="L77" t="s">
        <v>47</v>
      </c>
      <c r="M77" t="s">
        <v>76</v>
      </c>
      <c r="N77">
        <v>56</v>
      </c>
      <c r="O77" t="s">
        <v>31</v>
      </c>
      <c r="P77">
        <v>5320</v>
      </c>
      <c r="Q77" t="s">
        <v>32</v>
      </c>
      <c r="R77">
        <v>1</v>
      </c>
      <c r="U77" t="s">
        <v>193</v>
      </c>
      <c r="V77">
        <v>95</v>
      </c>
      <c r="W77">
        <v>113.05</v>
      </c>
    </row>
    <row r="78" spans="1:23" hidden="1" x14ac:dyDescent="0.25">
      <c r="A78">
        <v>1000567371</v>
      </c>
      <c r="B78" t="s">
        <v>106</v>
      </c>
      <c r="C78" t="s">
        <v>148</v>
      </c>
      <c r="D78" t="s">
        <v>23</v>
      </c>
      <c r="E78" t="str">
        <f>VLOOKUP(D78,Catalogo!$A$1:$B$10,2)</f>
        <v>LightTree Innovations</v>
      </c>
      <c r="F78" t="s">
        <v>149</v>
      </c>
      <c r="G78" t="s">
        <v>25</v>
      </c>
      <c r="I78" t="s">
        <v>122</v>
      </c>
      <c r="J78" t="s">
        <v>123</v>
      </c>
      <c r="K78" t="s">
        <v>124</v>
      </c>
      <c r="L78" t="s">
        <v>123</v>
      </c>
      <c r="M78" t="s">
        <v>124</v>
      </c>
      <c r="N78">
        <v>124</v>
      </c>
      <c r="O78" t="s">
        <v>31</v>
      </c>
      <c r="P78">
        <v>52328</v>
      </c>
      <c r="Q78" t="s">
        <v>32</v>
      </c>
      <c r="R78">
        <v>1</v>
      </c>
      <c r="U78" t="s">
        <v>194</v>
      </c>
      <c r="V78">
        <v>422</v>
      </c>
      <c r="W78">
        <v>502.17999999999989</v>
      </c>
    </row>
    <row r="79" spans="1:23" hidden="1" x14ac:dyDescent="0.25">
      <c r="A79">
        <v>1000567382</v>
      </c>
      <c r="B79" t="s">
        <v>106</v>
      </c>
      <c r="C79" t="s">
        <v>176</v>
      </c>
      <c r="D79" t="s">
        <v>23</v>
      </c>
      <c r="E79" t="str">
        <f>VLOOKUP(D79,Catalogo!$A$1:$B$10,2)</f>
        <v>LightTree Innovations</v>
      </c>
      <c r="F79" t="s">
        <v>177</v>
      </c>
      <c r="G79" t="s">
        <v>25</v>
      </c>
      <c r="I79" t="s">
        <v>151</v>
      </c>
      <c r="J79" t="s">
        <v>152</v>
      </c>
      <c r="K79" t="s">
        <v>153</v>
      </c>
      <c r="L79" t="s">
        <v>152</v>
      </c>
      <c r="M79" t="s">
        <v>153</v>
      </c>
      <c r="N79">
        <v>75</v>
      </c>
      <c r="O79" t="s">
        <v>31</v>
      </c>
      <c r="P79">
        <v>15225</v>
      </c>
      <c r="Q79" t="s">
        <v>32</v>
      </c>
      <c r="R79">
        <v>1</v>
      </c>
      <c r="U79" t="s">
        <v>195</v>
      </c>
      <c r="V79">
        <v>203</v>
      </c>
      <c r="W79">
        <v>241.57</v>
      </c>
    </row>
    <row r="80" spans="1:23" hidden="1" x14ac:dyDescent="0.25">
      <c r="A80">
        <v>1000567388</v>
      </c>
      <c r="B80" t="s">
        <v>106</v>
      </c>
      <c r="C80" t="s">
        <v>196</v>
      </c>
      <c r="D80" t="s">
        <v>23</v>
      </c>
      <c r="E80" t="str">
        <f>VLOOKUP(D80,Catalogo!$A$1:$B$10,2)</f>
        <v>LightTree Innovations</v>
      </c>
      <c r="F80" t="s">
        <v>197</v>
      </c>
      <c r="G80" t="s">
        <v>25</v>
      </c>
      <c r="I80" t="s">
        <v>122</v>
      </c>
      <c r="J80" t="s">
        <v>123</v>
      </c>
      <c r="K80" t="s">
        <v>124</v>
      </c>
      <c r="L80" t="s">
        <v>123</v>
      </c>
      <c r="M80" t="s">
        <v>124</v>
      </c>
      <c r="N80">
        <v>512</v>
      </c>
      <c r="O80" t="s">
        <v>31</v>
      </c>
      <c r="P80">
        <v>528384</v>
      </c>
      <c r="Q80" t="s">
        <v>32</v>
      </c>
      <c r="R80">
        <v>1</v>
      </c>
      <c r="U80" t="s">
        <v>198</v>
      </c>
      <c r="V80">
        <v>1032</v>
      </c>
      <c r="W80">
        <v>1228.08</v>
      </c>
    </row>
    <row r="81" spans="1:23" hidden="1" x14ac:dyDescent="0.25">
      <c r="A81">
        <v>1000567391</v>
      </c>
      <c r="B81" t="s">
        <v>106</v>
      </c>
      <c r="C81" t="s">
        <v>176</v>
      </c>
      <c r="D81" t="s">
        <v>23</v>
      </c>
      <c r="E81" t="str">
        <f>VLOOKUP(D81,Catalogo!$A$1:$B$10,2)</f>
        <v>LightTree Innovations</v>
      </c>
      <c r="F81" t="s">
        <v>177</v>
      </c>
      <c r="G81" t="s">
        <v>25</v>
      </c>
      <c r="I81" t="s">
        <v>46</v>
      </c>
      <c r="J81" t="s">
        <v>47</v>
      </c>
      <c r="K81" t="s">
        <v>76</v>
      </c>
      <c r="L81" t="s">
        <v>47</v>
      </c>
      <c r="M81" t="s">
        <v>199</v>
      </c>
      <c r="N81">
        <v>56</v>
      </c>
      <c r="O81" t="s">
        <v>31</v>
      </c>
      <c r="P81">
        <v>10640</v>
      </c>
      <c r="Q81" t="s">
        <v>32</v>
      </c>
      <c r="R81">
        <v>1</v>
      </c>
      <c r="U81" t="s">
        <v>200</v>
      </c>
      <c r="V81">
        <v>190</v>
      </c>
      <c r="W81">
        <v>226.1</v>
      </c>
    </row>
    <row r="82" spans="1:23" hidden="1" x14ac:dyDescent="0.25">
      <c r="A82">
        <v>1000567394</v>
      </c>
      <c r="B82" t="s">
        <v>106</v>
      </c>
      <c r="C82" t="s">
        <v>117</v>
      </c>
      <c r="D82" t="s">
        <v>23</v>
      </c>
      <c r="E82" t="str">
        <f>VLOOKUP(D82,Catalogo!$A$1:$B$10,2)</f>
        <v>LightTree Innovations</v>
      </c>
      <c r="F82" t="s">
        <v>118</v>
      </c>
      <c r="G82" t="s">
        <v>25</v>
      </c>
      <c r="I82" t="s">
        <v>151</v>
      </c>
      <c r="J82" t="s">
        <v>152</v>
      </c>
      <c r="K82" t="s">
        <v>153</v>
      </c>
      <c r="L82" t="s">
        <v>152</v>
      </c>
      <c r="M82" t="s">
        <v>153</v>
      </c>
      <c r="N82">
        <v>75</v>
      </c>
      <c r="O82" t="s">
        <v>31</v>
      </c>
      <c r="P82">
        <v>1425</v>
      </c>
      <c r="Q82" t="s">
        <v>32</v>
      </c>
      <c r="R82">
        <v>1</v>
      </c>
      <c r="U82" t="s">
        <v>201</v>
      </c>
      <c r="V82">
        <v>19</v>
      </c>
      <c r="W82">
        <v>22.61</v>
      </c>
    </row>
    <row r="83" spans="1:23" hidden="1" x14ac:dyDescent="0.25">
      <c r="A83">
        <v>1000567402</v>
      </c>
      <c r="B83" t="s">
        <v>106</v>
      </c>
      <c r="C83" t="s">
        <v>113</v>
      </c>
      <c r="D83" t="s">
        <v>23</v>
      </c>
      <c r="E83" t="str">
        <f>VLOOKUP(D83,Catalogo!$A$1:$B$10,2)</f>
        <v>LightTree Innovations</v>
      </c>
      <c r="F83" t="s">
        <v>114</v>
      </c>
      <c r="G83" t="s">
        <v>25</v>
      </c>
      <c r="I83" t="s">
        <v>122</v>
      </c>
      <c r="J83" t="s">
        <v>123</v>
      </c>
      <c r="K83" t="s">
        <v>124</v>
      </c>
      <c r="L83" t="s">
        <v>123</v>
      </c>
      <c r="M83" t="s">
        <v>124</v>
      </c>
      <c r="N83">
        <v>512</v>
      </c>
      <c r="O83" t="s">
        <v>31</v>
      </c>
      <c r="P83">
        <v>232960</v>
      </c>
      <c r="Q83" t="s">
        <v>32</v>
      </c>
      <c r="R83">
        <v>1</v>
      </c>
      <c r="U83" t="s">
        <v>202</v>
      </c>
      <c r="V83">
        <v>455</v>
      </c>
      <c r="W83">
        <v>541.44999999999993</v>
      </c>
    </row>
    <row r="84" spans="1:23" hidden="1" x14ac:dyDescent="0.25">
      <c r="A84">
        <v>1000567403</v>
      </c>
      <c r="B84" t="s">
        <v>106</v>
      </c>
      <c r="C84" t="s">
        <v>148</v>
      </c>
      <c r="D84" t="s">
        <v>23</v>
      </c>
      <c r="E84" t="str">
        <f>VLOOKUP(D84,Catalogo!$A$1:$B$10,2)</f>
        <v>LightTree Innovations</v>
      </c>
      <c r="F84" t="s">
        <v>149</v>
      </c>
      <c r="G84" t="s">
        <v>25</v>
      </c>
      <c r="I84" t="s">
        <v>47</v>
      </c>
      <c r="J84" t="s">
        <v>115</v>
      </c>
      <c r="K84" t="s">
        <v>58</v>
      </c>
      <c r="L84" t="s">
        <v>115</v>
      </c>
      <c r="N84">
        <v>44</v>
      </c>
      <c r="O84" t="s">
        <v>31</v>
      </c>
      <c r="P84">
        <v>18128</v>
      </c>
      <c r="Q84" t="s">
        <v>32</v>
      </c>
      <c r="R84">
        <v>1</v>
      </c>
      <c r="U84" t="s">
        <v>203</v>
      </c>
      <c r="V84">
        <v>412</v>
      </c>
      <c r="W84">
        <v>490.28</v>
      </c>
    </row>
    <row r="85" spans="1:23" hidden="1" x14ac:dyDescent="0.25">
      <c r="A85">
        <v>1000567407</v>
      </c>
      <c r="B85" t="s">
        <v>106</v>
      </c>
      <c r="C85" t="s">
        <v>186</v>
      </c>
      <c r="D85" t="s">
        <v>23</v>
      </c>
      <c r="E85" t="str">
        <f>VLOOKUP(D85,Catalogo!$A$1:$B$10,2)</f>
        <v>LightTree Innovations</v>
      </c>
      <c r="F85" t="s">
        <v>187</v>
      </c>
      <c r="G85" t="s">
        <v>25</v>
      </c>
      <c r="I85" t="s">
        <v>122</v>
      </c>
      <c r="J85" t="s">
        <v>123</v>
      </c>
      <c r="K85" t="s">
        <v>124</v>
      </c>
      <c r="L85" t="s">
        <v>123</v>
      </c>
      <c r="M85" t="s">
        <v>124</v>
      </c>
      <c r="N85">
        <v>512</v>
      </c>
      <c r="O85" t="s">
        <v>31</v>
      </c>
      <c r="P85">
        <v>62464</v>
      </c>
      <c r="Q85" t="s">
        <v>32</v>
      </c>
      <c r="R85">
        <v>1</v>
      </c>
      <c r="U85" t="s">
        <v>204</v>
      </c>
      <c r="V85">
        <v>122</v>
      </c>
      <c r="W85">
        <v>145.18</v>
      </c>
    </row>
    <row r="86" spans="1:23" hidden="1" x14ac:dyDescent="0.25">
      <c r="A86">
        <v>1000567409</v>
      </c>
      <c r="B86" t="s">
        <v>106</v>
      </c>
      <c r="C86" t="s">
        <v>196</v>
      </c>
      <c r="D86" t="s">
        <v>23</v>
      </c>
      <c r="E86" t="str">
        <f>VLOOKUP(D86,Catalogo!$A$1:$B$10,2)</f>
        <v>LightTree Innovations</v>
      </c>
      <c r="F86" t="s">
        <v>197</v>
      </c>
      <c r="G86" t="s">
        <v>25</v>
      </c>
      <c r="I86" t="s">
        <v>46</v>
      </c>
      <c r="J86" t="s">
        <v>47</v>
      </c>
      <c r="K86" t="s">
        <v>76</v>
      </c>
      <c r="L86" t="s">
        <v>47</v>
      </c>
      <c r="M86" t="s">
        <v>76</v>
      </c>
      <c r="N86">
        <v>56</v>
      </c>
      <c r="O86" t="s">
        <v>31</v>
      </c>
      <c r="P86">
        <v>57792</v>
      </c>
      <c r="Q86" t="s">
        <v>32</v>
      </c>
      <c r="R86">
        <v>1</v>
      </c>
      <c r="U86" t="s">
        <v>205</v>
      </c>
      <c r="V86">
        <v>1032</v>
      </c>
      <c r="W86">
        <v>1228.08</v>
      </c>
    </row>
    <row r="87" spans="1:23" hidden="1" x14ac:dyDescent="0.25">
      <c r="A87">
        <v>1000567411</v>
      </c>
      <c r="B87" t="s">
        <v>106</v>
      </c>
      <c r="C87" t="s">
        <v>110</v>
      </c>
      <c r="D87" t="s">
        <v>23</v>
      </c>
      <c r="E87" t="str">
        <f>VLOOKUP(D87,Catalogo!$A$1:$B$10,2)</f>
        <v>LightTree Innovations</v>
      </c>
      <c r="F87" t="s">
        <v>111</v>
      </c>
      <c r="G87" t="s">
        <v>25</v>
      </c>
      <c r="I87" t="s">
        <v>47</v>
      </c>
      <c r="J87" t="s">
        <v>115</v>
      </c>
      <c r="K87" t="s">
        <v>58</v>
      </c>
      <c r="L87" t="s">
        <v>101</v>
      </c>
      <c r="N87">
        <v>44</v>
      </c>
      <c r="O87" t="s">
        <v>31</v>
      </c>
      <c r="P87">
        <v>132</v>
      </c>
      <c r="Q87" t="s">
        <v>32</v>
      </c>
      <c r="R87">
        <v>1</v>
      </c>
      <c r="U87" t="s">
        <v>206</v>
      </c>
      <c r="V87">
        <v>3</v>
      </c>
      <c r="W87">
        <v>3.57</v>
      </c>
    </row>
    <row r="88" spans="1:23" hidden="1" x14ac:dyDescent="0.25">
      <c r="A88">
        <v>1000567414</v>
      </c>
      <c r="B88" t="s">
        <v>106</v>
      </c>
      <c r="C88" t="s">
        <v>126</v>
      </c>
      <c r="D88" t="s">
        <v>23</v>
      </c>
      <c r="E88" t="str">
        <f>VLOOKUP(D88,Catalogo!$A$1:$B$10,2)</f>
        <v>LightTree Innovations</v>
      </c>
      <c r="F88" t="s">
        <v>127</v>
      </c>
      <c r="G88" t="s">
        <v>25</v>
      </c>
      <c r="I88" t="s">
        <v>151</v>
      </c>
      <c r="J88" t="s">
        <v>152</v>
      </c>
      <c r="K88" t="s">
        <v>153</v>
      </c>
      <c r="L88" t="s">
        <v>152</v>
      </c>
      <c r="M88" t="s">
        <v>153</v>
      </c>
      <c r="N88">
        <v>75</v>
      </c>
      <c r="O88" t="s">
        <v>31</v>
      </c>
      <c r="P88">
        <v>4125</v>
      </c>
      <c r="Q88" t="s">
        <v>32</v>
      </c>
      <c r="R88">
        <v>1</v>
      </c>
      <c r="U88" t="s">
        <v>207</v>
      </c>
      <c r="V88">
        <v>55</v>
      </c>
      <c r="W88">
        <v>65.45</v>
      </c>
    </row>
    <row r="89" spans="1:23" hidden="1" x14ac:dyDescent="0.25">
      <c r="A89">
        <v>1000567418</v>
      </c>
      <c r="B89" t="s">
        <v>106</v>
      </c>
      <c r="C89" t="s">
        <v>113</v>
      </c>
      <c r="D89" t="s">
        <v>23</v>
      </c>
      <c r="E89" t="str">
        <f>VLOOKUP(D89,Catalogo!$A$1:$B$10,2)</f>
        <v>LightTree Innovations</v>
      </c>
      <c r="F89" t="s">
        <v>114</v>
      </c>
      <c r="G89" t="s">
        <v>25</v>
      </c>
      <c r="I89" t="s">
        <v>122</v>
      </c>
      <c r="J89" t="s">
        <v>123</v>
      </c>
      <c r="K89" t="s">
        <v>124</v>
      </c>
      <c r="L89" t="s">
        <v>123</v>
      </c>
      <c r="M89" t="s">
        <v>124</v>
      </c>
      <c r="N89">
        <v>124</v>
      </c>
      <c r="O89" t="s">
        <v>31</v>
      </c>
      <c r="P89">
        <v>56420</v>
      </c>
      <c r="Q89" t="s">
        <v>32</v>
      </c>
      <c r="R89">
        <v>1</v>
      </c>
      <c r="U89" t="s">
        <v>208</v>
      </c>
      <c r="V89">
        <v>455</v>
      </c>
      <c r="W89">
        <v>541.44999999999993</v>
      </c>
    </row>
    <row r="90" spans="1:23" hidden="1" x14ac:dyDescent="0.25">
      <c r="A90">
        <v>1000567420</v>
      </c>
      <c r="B90" t="s">
        <v>106</v>
      </c>
      <c r="C90" t="s">
        <v>186</v>
      </c>
      <c r="D90" t="s">
        <v>23</v>
      </c>
      <c r="E90" t="str">
        <f>VLOOKUP(D90,Catalogo!$A$1:$B$10,2)</f>
        <v>LightTree Innovations</v>
      </c>
      <c r="F90" t="s">
        <v>187</v>
      </c>
      <c r="G90" t="s">
        <v>25</v>
      </c>
      <c r="I90" t="s">
        <v>151</v>
      </c>
      <c r="J90" t="s">
        <v>152</v>
      </c>
      <c r="K90" t="s">
        <v>153</v>
      </c>
      <c r="L90" t="s">
        <v>152</v>
      </c>
      <c r="M90" t="s">
        <v>153</v>
      </c>
      <c r="N90">
        <v>75</v>
      </c>
      <c r="O90" t="s">
        <v>31</v>
      </c>
      <c r="P90">
        <v>9150</v>
      </c>
      <c r="Q90" t="s">
        <v>32</v>
      </c>
      <c r="R90">
        <v>1</v>
      </c>
      <c r="U90" t="s">
        <v>209</v>
      </c>
      <c r="V90">
        <v>122</v>
      </c>
      <c r="W90">
        <v>145.18</v>
      </c>
    </row>
    <row r="91" spans="1:23" hidden="1" x14ac:dyDescent="0.25">
      <c r="A91">
        <v>1000567421</v>
      </c>
      <c r="B91" t="s">
        <v>106</v>
      </c>
      <c r="C91" t="s">
        <v>210</v>
      </c>
      <c r="D91" t="s">
        <v>23</v>
      </c>
      <c r="E91" t="str">
        <f>VLOOKUP(D91,Catalogo!$A$1:$B$10,2)</f>
        <v>LightTree Innovations</v>
      </c>
      <c r="F91" t="s">
        <v>211</v>
      </c>
      <c r="G91" t="s">
        <v>25</v>
      </c>
      <c r="I91" t="s">
        <v>122</v>
      </c>
      <c r="J91" t="s">
        <v>123</v>
      </c>
      <c r="K91" t="s">
        <v>124</v>
      </c>
      <c r="L91" t="s">
        <v>123</v>
      </c>
      <c r="M91" t="s">
        <v>124</v>
      </c>
      <c r="N91">
        <v>512</v>
      </c>
      <c r="O91" t="s">
        <v>31</v>
      </c>
      <c r="P91">
        <v>57344</v>
      </c>
      <c r="Q91" t="s">
        <v>32</v>
      </c>
      <c r="R91">
        <v>1</v>
      </c>
      <c r="U91" t="s">
        <v>212</v>
      </c>
      <c r="V91">
        <v>112</v>
      </c>
      <c r="W91">
        <v>133.28</v>
      </c>
    </row>
    <row r="92" spans="1:23" hidden="1" x14ac:dyDescent="0.25">
      <c r="A92">
        <v>1000567422</v>
      </c>
      <c r="B92" t="s">
        <v>106</v>
      </c>
      <c r="C92" t="s">
        <v>107</v>
      </c>
      <c r="D92" t="s">
        <v>23</v>
      </c>
      <c r="E92" t="str">
        <f>VLOOKUP(D92,Catalogo!$A$1:$B$10,2)</f>
        <v>LightTree Innovations</v>
      </c>
      <c r="F92" t="s">
        <v>108</v>
      </c>
      <c r="G92" t="s">
        <v>25</v>
      </c>
      <c r="I92" t="s">
        <v>122</v>
      </c>
      <c r="J92" t="s">
        <v>123</v>
      </c>
      <c r="K92" t="s">
        <v>124</v>
      </c>
      <c r="L92" t="s">
        <v>123</v>
      </c>
      <c r="M92" t="s">
        <v>124</v>
      </c>
      <c r="N92">
        <v>512</v>
      </c>
      <c r="O92" t="s">
        <v>31</v>
      </c>
      <c r="P92">
        <v>1227776</v>
      </c>
      <c r="Q92" t="s">
        <v>32</v>
      </c>
      <c r="R92">
        <v>1</v>
      </c>
      <c r="U92" t="s">
        <v>213</v>
      </c>
      <c r="V92">
        <v>2398</v>
      </c>
      <c r="W92">
        <v>2853.62</v>
      </c>
    </row>
    <row r="93" spans="1:23" hidden="1" x14ac:dyDescent="0.25">
      <c r="A93">
        <v>1000567429</v>
      </c>
      <c r="B93" t="s">
        <v>106</v>
      </c>
      <c r="C93" t="s">
        <v>166</v>
      </c>
      <c r="D93" t="s">
        <v>23</v>
      </c>
      <c r="E93" t="str">
        <f>VLOOKUP(D93,Catalogo!$A$1:$B$10,2)</f>
        <v>LightTree Innovations</v>
      </c>
      <c r="F93" t="s">
        <v>167</v>
      </c>
      <c r="G93" t="s">
        <v>25</v>
      </c>
      <c r="I93" t="s">
        <v>47</v>
      </c>
      <c r="J93" t="s">
        <v>115</v>
      </c>
      <c r="K93" t="s">
        <v>58</v>
      </c>
      <c r="L93" t="s">
        <v>115</v>
      </c>
      <c r="N93">
        <v>44</v>
      </c>
      <c r="O93" t="s">
        <v>31</v>
      </c>
      <c r="P93">
        <v>34056</v>
      </c>
      <c r="Q93" t="s">
        <v>32</v>
      </c>
      <c r="R93">
        <v>1</v>
      </c>
      <c r="U93" t="s">
        <v>214</v>
      </c>
      <c r="V93">
        <v>774</v>
      </c>
      <c r="W93">
        <v>921.06</v>
      </c>
    </row>
    <row r="94" spans="1:23" hidden="1" x14ac:dyDescent="0.25">
      <c r="A94">
        <v>1000567432</v>
      </c>
      <c r="B94" t="s">
        <v>106</v>
      </c>
      <c r="C94" t="s">
        <v>110</v>
      </c>
      <c r="D94" t="s">
        <v>23</v>
      </c>
      <c r="E94" t="str">
        <f>VLOOKUP(D94,Catalogo!$A$1:$B$10,2)</f>
        <v>LightTree Innovations</v>
      </c>
      <c r="F94" t="s">
        <v>111</v>
      </c>
      <c r="G94" t="s">
        <v>25</v>
      </c>
      <c r="I94" t="s">
        <v>151</v>
      </c>
      <c r="J94" t="s">
        <v>152</v>
      </c>
      <c r="K94" t="s">
        <v>153</v>
      </c>
      <c r="L94" t="s">
        <v>152</v>
      </c>
      <c r="M94" t="s">
        <v>153</v>
      </c>
      <c r="N94">
        <v>75</v>
      </c>
      <c r="O94" t="s">
        <v>31</v>
      </c>
      <c r="P94">
        <v>225</v>
      </c>
      <c r="Q94" t="s">
        <v>32</v>
      </c>
      <c r="R94">
        <v>1</v>
      </c>
      <c r="U94" t="s">
        <v>215</v>
      </c>
      <c r="V94">
        <v>3</v>
      </c>
      <c r="W94">
        <v>3.57</v>
      </c>
    </row>
    <row r="95" spans="1:23" hidden="1" x14ac:dyDescent="0.25">
      <c r="A95">
        <v>1000567434</v>
      </c>
      <c r="B95" t="s">
        <v>106</v>
      </c>
      <c r="C95" t="s">
        <v>126</v>
      </c>
      <c r="D95" t="s">
        <v>23</v>
      </c>
      <c r="E95" t="str">
        <f>VLOOKUP(D95,Catalogo!$A$1:$B$10,2)</f>
        <v>LightTree Innovations</v>
      </c>
      <c r="F95" t="s">
        <v>127</v>
      </c>
      <c r="G95" t="s">
        <v>25</v>
      </c>
      <c r="I95" t="s">
        <v>122</v>
      </c>
      <c r="J95" t="s">
        <v>123</v>
      </c>
      <c r="K95" t="s">
        <v>124</v>
      </c>
      <c r="L95" t="s">
        <v>123</v>
      </c>
      <c r="M95" t="s">
        <v>124</v>
      </c>
      <c r="N95">
        <v>124</v>
      </c>
      <c r="O95" t="s">
        <v>31</v>
      </c>
      <c r="P95">
        <v>6820</v>
      </c>
      <c r="Q95" t="s">
        <v>32</v>
      </c>
      <c r="R95">
        <v>1</v>
      </c>
      <c r="U95" t="s">
        <v>216</v>
      </c>
      <c r="V95">
        <v>55</v>
      </c>
      <c r="W95">
        <v>65.45</v>
      </c>
    </row>
    <row r="96" spans="1:23" hidden="1" x14ac:dyDescent="0.25">
      <c r="A96">
        <v>1000567435</v>
      </c>
      <c r="B96" t="s">
        <v>106</v>
      </c>
      <c r="C96" t="s">
        <v>157</v>
      </c>
      <c r="D96" t="s">
        <v>23</v>
      </c>
      <c r="E96" t="str">
        <f>VLOOKUP(D96,Catalogo!$A$1:$B$10,2)</f>
        <v>LightTree Innovations</v>
      </c>
      <c r="F96" t="s">
        <v>158</v>
      </c>
      <c r="G96" t="s">
        <v>25</v>
      </c>
      <c r="I96" t="s">
        <v>47</v>
      </c>
      <c r="J96" t="s">
        <v>115</v>
      </c>
      <c r="K96" t="s">
        <v>58</v>
      </c>
      <c r="L96" t="s">
        <v>115</v>
      </c>
      <c r="N96">
        <v>44</v>
      </c>
      <c r="O96" t="s">
        <v>31</v>
      </c>
      <c r="P96">
        <v>2200</v>
      </c>
      <c r="Q96" t="s">
        <v>32</v>
      </c>
      <c r="R96">
        <v>1</v>
      </c>
      <c r="U96" t="s">
        <v>217</v>
      </c>
      <c r="V96">
        <v>50</v>
      </c>
      <c r="W96">
        <v>59.5</v>
      </c>
    </row>
    <row r="97" spans="1:23" hidden="1" x14ac:dyDescent="0.25">
      <c r="A97">
        <v>1000567437</v>
      </c>
      <c r="B97" t="s">
        <v>106</v>
      </c>
      <c r="C97" t="s">
        <v>210</v>
      </c>
      <c r="D97" t="s">
        <v>23</v>
      </c>
      <c r="E97" t="str">
        <f>VLOOKUP(D97,Catalogo!$A$1:$B$10,2)</f>
        <v>LightTree Innovations</v>
      </c>
      <c r="F97" t="s">
        <v>211</v>
      </c>
      <c r="G97" t="s">
        <v>25</v>
      </c>
      <c r="I97" t="s">
        <v>46</v>
      </c>
      <c r="J97" t="s">
        <v>47</v>
      </c>
      <c r="K97" t="s">
        <v>76</v>
      </c>
      <c r="L97" t="s">
        <v>47</v>
      </c>
      <c r="M97" t="s">
        <v>76</v>
      </c>
      <c r="N97">
        <v>56</v>
      </c>
      <c r="O97" t="s">
        <v>31</v>
      </c>
      <c r="P97">
        <v>6272</v>
      </c>
      <c r="Q97" t="s">
        <v>32</v>
      </c>
      <c r="R97">
        <v>1</v>
      </c>
      <c r="U97" t="s">
        <v>218</v>
      </c>
      <c r="V97">
        <v>112</v>
      </c>
      <c r="W97">
        <v>133.28</v>
      </c>
    </row>
    <row r="98" spans="1:23" hidden="1" x14ac:dyDescent="0.25">
      <c r="A98">
        <v>1000567443</v>
      </c>
      <c r="B98" t="s">
        <v>106</v>
      </c>
      <c r="C98" t="s">
        <v>196</v>
      </c>
      <c r="D98" t="s">
        <v>23</v>
      </c>
      <c r="E98" t="str">
        <f>VLOOKUP(D98,Catalogo!$A$1:$B$10,2)</f>
        <v>LightTree Innovations</v>
      </c>
      <c r="F98" t="s">
        <v>197</v>
      </c>
      <c r="G98" t="s">
        <v>25</v>
      </c>
      <c r="I98" t="s">
        <v>151</v>
      </c>
      <c r="J98" t="s">
        <v>152</v>
      </c>
      <c r="K98" t="s">
        <v>153</v>
      </c>
      <c r="L98" t="s">
        <v>152</v>
      </c>
      <c r="M98" t="s">
        <v>153</v>
      </c>
      <c r="N98">
        <v>75</v>
      </c>
      <c r="O98" t="s">
        <v>31</v>
      </c>
      <c r="P98">
        <v>62475</v>
      </c>
      <c r="Q98" t="s">
        <v>32</v>
      </c>
      <c r="R98">
        <v>1</v>
      </c>
      <c r="U98" t="s">
        <v>219</v>
      </c>
      <c r="V98">
        <v>833</v>
      </c>
      <c r="W98">
        <v>991.27</v>
      </c>
    </row>
    <row r="99" spans="1:23" hidden="1" x14ac:dyDescent="0.25">
      <c r="A99">
        <v>1000567446</v>
      </c>
      <c r="B99" t="s">
        <v>106</v>
      </c>
      <c r="C99" t="s">
        <v>110</v>
      </c>
      <c r="D99" t="s">
        <v>23</v>
      </c>
      <c r="E99" t="str">
        <f>VLOOKUP(D99,Catalogo!$A$1:$B$10,2)</f>
        <v>LightTree Innovations</v>
      </c>
      <c r="F99" t="s">
        <v>111</v>
      </c>
      <c r="G99" t="s">
        <v>25</v>
      </c>
      <c r="I99" t="s">
        <v>122</v>
      </c>
      <c r="J99" t="s">
        <v>123</v>
      </c>
      <c r="K99" t="s">
        <v>124</v>
      </c>
      <c r="L99" t="s">
        <v>123</v>
      </c>
      <c r="M99" t="s">
        <v>124</v>
      </c>
      <c r="N99">
        <v>512</v>
      </c>
      <c r="O99" t="s">
        <v>31</v>
      </c>
      <c r="P99">
        <v>1536</v>
      </c>
      <c r="Q99" t="s">
        <v>32</v>
      </c>
      <c r="R99">
        <v>1</v>
      </c>
      <c r="U99" t="s">
        <v>220</v>
      </c>
      <c r="V99">
        <v>3</v>
      </c>
      <c r="W99">
        <v>3.57</v>
      </c>
    </row>
    <row r="100" spans="1:23" hidden="1" x14ac:dyDescent="0.25">
      <c r="A100">
        <v>1000567448</v>
      </c>
      <c r="B100" t="s">
        <v>106</v>
      </c>
      <c r="C100" t="s">
        <v>126</v>
      </c>
      <c r="D100" t="s">
        <v>23</v>
      </c>
      <c r="E100" t="str">
        <f>VLOOKUP(D100,Catalogo!$A$1:$B$10,2)</f>
        <v>LightTree Innovations</v>
      </c>
      <c r="F100" t="s">
        <v>127</v>
      </c>
      <c r="G100" t="s">
        <v>25</v>
      </c>
      <c r="I100" t="s">
        <v>122</v>
      </c>
      <c r="J100" t="s">
        <v>123</v>
      </c>
      <c r="K100" t="s">
        <v>124</v>
      </c>
      <c r="L100" t="s">
        <v>221</v>
      </c>
      <c r="M100" t="s">
        <v>151</v>
      </c>
      <c r="N100">
        <v>512</v>
      </c>
      <c r="O100" t="s">
        <v>31</v>
      </c>
      <c r="P100">
        <v>28160</v>
      </c>
      <c r="Q100" t="s">
        <v>32</v>
      </c>
      <c r="R100">
        <v>1</v>
      </c>
      <c r="U100" t="s">
        <v>222</v>
      </c>
      <c r="V100">
        <v>55</v>
      </c>
      <c r="W100">
        <v>65.45</v>
      </c>
    </row>
    <row r="101" spans="1:23" hidden="1" x14ac:dyDescent="0.25">
      <c r="A101">
        <v>1000567450</v>
      </c>
      <c r="B101" t="s">
        <v>106</v>
      </c>
      <c r="C101" t="s">
        <v>196</v>
      </c>
      <c r="D101" t="s">
        <v>23</v>
      </c>
      <c r="E101" t="str">
        <f>VLOOKUP(D101,Catalogo!$A$1:$B$10,2)</f>
        <v>LightTree Innovations</v>
      </c>
      <c r="F101" t="s">
        <v>197</v>
      </c>
      <c r="G101" t="s">
        <v>25</v>
      </c>
      <c r="I101" t="s">
        <v>47</v>
      </c>
      <c r="J101" t="s">
        <v>115</v>
      </c>
      <c r="K101" t="s">
        <v>58</v>
      </c>
      <c r="L101" t="s">
        <v>115</v>
      </c>
      <c r="N101">
        <v>44</v>
      </c>
      <c r="O101" t="s">
        <v>31</v>
      </c>
      <c r="P101">
        <v>36652</v>
      </c>
      <c r="Q101" t="s">
        <v>32</v>
      </c>
      <c r="R101">
        <v>1</v>
      </c>
      <c r="U101" t="s">
        <v>223</v>
      </c>
      <c r="V101">
        <v>833</v>
      </c>
      <c r="W101">
        <v>991.27</v>
      </c>
    </row>
    <row r="102" spans="1:23" hidden="1" x14ac:dyDescent="0.25">
      <c r="A102">
        <v>1000567460</v>
      </c>
      <c r="B102" t="s">
        <v>106</v>
      </c>
      <c r="C102" t="s">
        <v>160</v>
      </c>
      <c r="D102" t="s">
        <v>23</v>
      </c>
      <c r="E102" t="str">
        <f>VLOOKUP(D102,Catalogo!$A$1:$B$10,2)</f>
        <v>LightTree Innovations</v>
      </c>
      <c r="F102" t="s">
        <v>161</v>
      </c>
      <c r="G102" t="s">
        <v>25</v>
      </c>
      <c r="I102" t="s">
        <v>47</v>
      </c>
      <c r="J102" t="s">
        <v>115</v>
      </c>
      <c r="K102" t="s">
        <v>58</v>
      </c>
      <c r="L102" t="s">
        <v>101</v>
      </c>
      <c r="N102">
        <v>44</v>
      </c>
      <c r="O102" t="s">
        <v>31</v>
      </c>
      <c r="P102">
        <v>1056</v>
      </c>
      <c r="Q102" t="s">
        <v>32</v>
      </c>
      <c r="R102">
        <v>1</v>
      </c>
      <c r="U102" t="s">
        <v>224</v>
      </c>
      <c r="V102">
        <v>24</v>
      </c>
      <c r="W102">
        <v>28.56</v>
      </c>
    </row>
    <row r="103" spans="1:23" hidden="1" x14ac:dyDescent="0.25">
      <c r="A103">
        <v>1000567462</v>
      </c>
      <c r="B103" t="s">
        <v>106</v>
      </c>
      <c r="C103" t="s">
        <v>186</v>
      </c>
      <c r="D103" t="s">
        <v>23</v>
      </c>
      <c r="E103" t="str">
        <f>VLOOKUP(D103,Catalogo!$A$1:$B$10,2)</f>
        <v>LightTree Innovations</v>
      </c>
      <c r="F103" t="s">
        <v>187</v>
      </c>
      <c r="G103" t="s">
        <v>25</v>
      </c>
      <c r="I103" t="s">
        <v>47</v>
      </c>
      <c r="J103" t="s">
        <v>115</v>
      </c>
      <c r="K103" t="s">
        <v>58</v>
      </c>
      <c r="L103" t="s">
        <v>115</v>
      </c>
      <c r="N103">
        <v>44</v>
      </c>
      <c r="O103" t="s">
        <v>31</v>
      </c>
      <c r="P103">
        <v>5368</v>
      </c>
      <c r="Q103" t="s">
        <v>32</v>
      </c>
      <c r="R103">
        <v>1</v>
      </c>
      <c r="U103" t="s">
        <v>225</v>
      </c>
      <c r="V103">
        <v>122</v>
      </c>
      <c r="W103">
        <v>145.18</v>
      </c>
    </row>
    <row r="104" spans="1:23" hidden="1" x14ac:dyDescent="0.25">
      <c r="A104">
        <v>1000567463</v>
      </c>
      <c r="B104" t="s">
        <v>106</v>
      </c>
      <c r="C104" t="s">
        <v>135</v>
      </c>
      <c r="D104" t="s">
        <v>23</v>
      </c>
      <c r="E104" t="str">
        <f>VLOOKUP(D104,Catalogo!$A$1:$B$10,2)</f>
        <v>LightTree Innovations</v>
      </c>
      <c r="F104" t="s">
        <v>136</v>
      </c>
      <c r="G104" t="s">
        <v>25</v>
      </c>
      <c r="I104" t="s">
        <v>151</v>
      </c>
      <c r="J104" t="s">
        <v>152</v>
      </c>
      <c r="K104" t="s">
        <v>153</v>
      </c>
      <c r="L104" t="s">
        <v>152</v>
      </c>
      <c r="M104" t="s">
        <v>153</v>
      </c>
      <c r="N104">
        <v>75</v>
      </c>
      <c r="O104" t="s">
        <v>31</v>
      </c>
      <c r="P104">
        <v>8100</v>
      </c>
      <c r="Q104" t="s">
        <v>32</v>
      </c>
      <c r="R104">
        <v>1</v>
      </c>
      <c r="U104" t="s">
        <v>226</v>
      </c>
      <c r="V104">
        <v>108</v>
      </c>
      <c r="W104">
        <v>128.52000000000001</v>
      </c>
    </row>
    <row r="105" spans="1:23" hidden="1" x14ac:dyDescent="0.25">
      <c r="A105">
        <v>1000567467</v>
      </c>
      <c r="B105" t="s">
        <v>106</v>
      </c>
      <c r="C105" t="s">
        <v>160</v>
      </c>
      <c r="D105" t="s">
        <v>23</v>
      </c>
      <c r="E105" t="str">
        <f>VLOOKUP(D105,Catalogo!$A$1:$B$10,2)</f>
        <v>LightTree Innovations</v>
      </c>
      <c r="F105" t="s">
        <v>161</v>
      </c>
      <c r="G105" t="s">
        <v>25</v>
      </c>
      <c r="I105" t="s">
        <v>122</v>
      </c>
      <c r="J105" t="s">
        <v>123</v>
      </c>
      <c r="K105" t="s">
        <v>124</v>
      </c>
      <c r="L105" t="s">
        <v>123</v>
      </c>
      <c r="M105" t="s">
        <v>124</v>
      </c>
      <c r="N105">
        <v>512</v>
      </c>
      <c r="O105" t="s">
        <v>31</v>
      </c>
      <c r="P105">
        <v>12288</v>
      </c>
      <c r="Q105" t="s">
        <v>32</v>
      </c>
      <c r="R105">
        <v>1</v>
      </c>
      <c r="U105" t="s">
        <v>227</v>
      </c>
      <c r="V105">
        <v>24</v>
      </c>
      <c r="W105">
        <v>28.56</v>
      </c>
    </row>
    <row r="106" spans="1:23" hidden="1" x14ac:dyDescent="0.25">
      <c r="A106">
        <v>1000567470</v>
      </c>
      <c r="B106" t="s">
        <v>106</v>
      </c>
      <c r="C106" t="s">
        <v>110</v>
      </c>
      <c r="D106" t="s">
        <v>23</v>
      </c>
      <c r="E106" t="str">
        <f>VLOOKUP(D106,Catalogo!$A$1:$B$10,2)</f>
        <v>LightTree Innovations</v>
      </c>
      <c r="F106" t="s">
        <v>111</v>
      </c>
      <c r="G106" t="s">
        <v>25</v>
      </c>
      <c r="I106" t="s">
        <v>46</v>
      </c>
      <c r="J106" t="s">
        <v>47</v>
      </c>
      <c r="K106" t="s">
        <v>76</v>
      </c>
      <c r="L106" t="s">
        <v>47</v>
      </c>
      <c r="M106" t="s">
        <v>76</v>
      </c>
      <c r="N106">
        <v>56</v>
      </c>
      <c r="O106" t="s">
        <v>31</v>
      </c>
      <c r="P106">
        <v>168</v>
      </c>
      <c r="Q106" t="s">
        <v>32</v>
      </c>
      <c r="R106">
        <v>1</v>
      </c>
      <c r="U106" t="s">
        <v>228</v>
      </c>
      <c r="V106">
        <v>3</v>
      </c>
      <c r="W106">
        <v>3.57</v>
      </c>
    </row>
    <row r="107" spans="1:23" hidden="1" x14ac:dyDescent="0.25">
      <c r="A107">
        <v>1000567471</v>
      </c>
      <c r="B107" t="s">
        <v>106</v>
      </c>
      <c r="C107" t="s">
        <v>169</v>
      </c>
      <c r="D107" t="s">
        <v>23</v>
      </c>
      <c r="E107" t="str">
        <f>VLOOKUP(D107,Catalogo!$A$1:$B$10,2)</f>
        <v>LightTree Innovations</v>
      </c>
      <c r="F107" t="s">
        <v>170</v>
      </c>
      <c r="G107" t="s">
        <v>25</v>
      </c>
      <c r="I107" t="s">
        <v>122</v>
      </c>
      <c r="J107" t="s">
        <v>123</v>
      </c>
      <c r="K107" t="s">
        <v>124</v>
      </c>
      <c r="L107" t="s">
        <v>229</v>
      </c>
      <c r="M107" t="s">
        <v>51</v>
      </c>
      <c r="N107">
        <v>512</v>
      </c>
      <c r="O107" t="s">
        <v>31</v>
      </c>
      <c r="P107">
        <v>604160</v>
      </c>
      <c r="Q107" t="s">
        <v>32</v>
      </c>
      <c r="R107">
        <v>1</v>
      </c>
      <c r="U107" t="s">
        <v>230</v>
      </c>
      <c r="V107">
        <v>1180</v>
      </c>
      <c r="W107">
        <v>1404.2</v>
      </c>
    </row>
    <row r="108" spans="1:23" hidden="1" x14ac:dyDescent="0.25">
      <c r="A108">
        <v>1000567474</v>
      </c>
      <c r="B108" t="s">
        <v>106</v>
      </c>
      <c r="C108" t="s">
        <v>110</v>
      </c>
      <c r="D108" t="s">
        <v>23</v>
      </c>
      <c r="E108" t="str">
        <f>VLOOKUP(D108,Catalogo!$A$1:$B$10,2)</f>
        <v>LightTree Innovations</v>
      </c>
      <c r="F108" t="s">
        <v>111</v>
      </c>
      <c r="G108" t="s">
        <v>25</v>
      </c>
      <c r="I108" t="s">
        <v>151</v>
      </c>
      <c r="J108" t="s">
        <v>152</v>
      </c>
      <c r="K108" t="s">
        <v>153</v>
      </c>
      <c r="L108" t="s">
        <v>152</v>
      </c>
      <c r="M108" t="s">
        <v>153</v>
      </c>
      <c r="N108">
        <v>75</v>
      </c>
      <c r="O108" t="s">
        <v>31</v>
      </c>
      <c r="P108">
        <v>225</v>
      </c>
      <c r="Q108" t="s">
        <v>32</v>
      </c>
      <c r="R108">
        <v>1</v>
      </c>
      <c r="U108" t="s">
        <v>231</v>
      </c>
      <c r="V108">
        <v>3</v>
      </c>
      <c r="W108">
        <v>3.57</v>
      </c>
    </row>
    <row r="109" spans="1:23" hidden="1" x14ac:dyDescent="0.25">
      <c r="A109">
        <v>1000567475</v>
      </c>
      <c r="B109" t="s">
        <v>106</v>
      </c>
      <c r="C109" t="s">
        <v>141</v>
      </c>
      <c r="D109" t="s">
        <v>23</v>
      </c>
      <c r="E109" t="str">
        <f>VLOOKUP(D109,Catalogo!$A$1:$B$10,2)</f>
        <v>LightTree Innovations</v>
      </c>
      <c r="F109" t="s">
        <v>142</v>
      </c>
      <c r="G109" t="s">
        <v>25</v>
      </c>
      <c r="I109" t="s">
        <v>151</v>
      </c>
      <c r="J109" t="s">
        <v>152</v>
      </c>
      <c r="K109" t="s">
        <v>153</v>
      </c>
      <c r="L109" t="s">
        <v>152</v>
      </c>
      <c r="M109" t="s">
        <v>153</v>
      </c>
      <c r="N109">
        <v>75</v>
      </c>
      <c r="O109" t="s">
        <v>31</v>
      </c>
      <c r="P109">
        <v>26250</v>
      </c>
      <c r="Q109" t="s">
        <v>32</v>
      </c>
      <c r="R109">
        <v>1</v>
      </c>
      <c r="U109" t="s">
        <v>232</v>
      </c>
      <c r="V109">
        <v>350</v>
      </c>
      <c r="W109">
        <v>416.5</v>
      </c>
    </row>
    <row r="110" spans="1:23" hidden="1" x14ac:dyDescent="0.25">
      <c r="A110">
        <v>1000567479</v>
      </c>
      <c r="B110" t="s">
        <v>106</v>
      </c>
      <c r="C110" t="s">
        <v>132</v>
      </c>
      <c r="D110" t="s">
        <v>23</v>
      </c>
      <c r="E110" t="str">
        <f>VLOOKUP(D110,Catalogo!$A$1:$B$10,2)</f>
        <v>LightTree Innovations</v>
      </c>
      <c r="F110" t="s">
        <v>133</v>
      </c>
      <c r="G110" t="s">
        <v>25</v>
      </c>
      <c r="I110" t="s">
        <v>46</v>
      </c>
      <c r="J110" t="s">
        <v>47</v>
      </c>
      <c r="K110" t="s">
        <v>76</v>
      </c>
      <c r="L110" t="s">
        <v>47</v>
      </c>
      <c r="M110" t="s">
        <v>76</v>
      </c>
      <c r="N110">
        <v>56</v>
      </c>
      <c r="O110" t="s">
        <v>31</v>
      </c>
      <c r="P110">
        <v>19600</v>
      </c>
      <c r="Q110" t="s">
        <v>32</v>
      </c>
      <c r="R110">
        <v>1</v>
      </c>
      <c r="U110" t="s">
        <v>233</v>
      </c>
      <c r="V110">
        <v>350</v>
      </c>
      <c r="W110">
        <v>416.5</v>
      </c>
    </row>
    <row r="111" spans="1:23" hidden="1" x14ac:dyDescent="0.25">
      <c r="A111">
        <v>1000567482</v>
      </c>
      <c r="B111" t="s">
        <v>106</v>
      </c>
      <c r="C111" t="s">
        <v>160</v>
      </c>
      <c r="D111" t="s">
        <v>23</v>
      </c>
      <c r="E111" t="str">
        <f>VLOOKUP(D111,Catalogo!$A$1:$B$10,2)</f>
        <v>LightTree Innovations</v>
      </c>
      <c r="F111" t="s">
        <v>161</v>
      </c>
      <c r="G111" t="s">
        <v>25</v>
      </c>
      <c r="I111" t="s">
        <v>46</v>
      </c>
      <c r="J111" t="s">
        <v>47</v>
      </c>
      <c r="K111" t="s">
        <v>76</v>
      </c>
      <c r="L111" t="s">
        <v>234</v>
      </c>
      <c r="M111" t="s">
        <v>235</v>
      </c>
      <c r="N111">
        <v>56</v>
      </c>
      <c r="O111" t="s">
        <v>31</v>
      </c>
      <c r="P111">
        <v>1344</v>
      </c>
      <c r="Q111" t="s">
        <v>32</v>
      </c>
      <c r="R111">
        <v>1</v>
      </c>
      <c r="U111" t="s">
        <v>236</v>
      </c>
      <c r="V111">
        <v>24</v>
      </c>
      <c r="W111">
        <v>28.56</v>
      </c>
    </row>
    <row r="112" spans="1:23" hidden="1" x14ac:dyDescent="0.25">
      <c r="A112">
        <v>1000567486</v>
      </c>
      <c r="B112" t="s">
        <v>106</v>
      </c>
      <c r="C112" t="s">
        <v>169</v>
      </c>
      <c r="D112" t="s">
        <v>23</v>
      </c>
      <c r="E112" t="str">
        <f>VLOOKUP(D112,Catalogo!$A$1:$B$10,2)</f>
        <v>LightTree Innovations</v>
      </c>
      <c r="F112" t="s">
        <v>170</v>
      </c>
      <c r="G112" t="s">
        <v>25</v>
      </c>
      <c r="I112" t="s">
        <v>47</v>
      </c>
      <c r="J112" t="s">
        <v>115</v>
      </c>
      <c r="K112" t="s">
        <v>58</v>
      </c>
      <c r="L112" t="s">
        <v>115</v>
      </c>
      <c r="N112">
        <v>44</v>
      </c>
      <c r="O112" t="s">
        <v>31</v>
      </c>
      <c r="P112">
        <v>56760</v>
      </c>
      <c r="Q112" t="s">
        <v>32</v>
      </c>
      <c r="R112">
        <v>1</v>
      </c>
      <c r="U112" t="s">
        <v>237</v>
      </c>
      <c r="V112">
        <v>1290</v>
      </c>
      <c r="W112">
        <v>1535.1</v>
      </c>
    </row>
    <row r="113" spans="1:23" hidden="1" x14ac:dyDescent="0.25">
      <c r="A113">
        <v>1000567494</v>
      </c>
      <c r="B113" t="s">
        <v>106</v>
      </c>
      <c r="C113" t="s">
        <v>141</v>
      </c>
      <c r="D113" t="s">
        <v>23</v>
      </c>
      <c r="E113" t="str">
        <f>VLOOKUP(D113,Catalogo!$A$1:$B$10,2)</f>
        <v>LightTree Innovations</v>
      </c>
      <c r="F113" t="s">
        <v>142</v>
      </c>
      <c r="G113" t="s">
        <v>25</v>
      </c>
      <c r="I113" t="s">
        <v>122</v>
      </c>
      <c r="J113" t="s">
        <v>123</v>
      </c>
      <c r="K113" t="s">
        <v>124</v>
      </c>
      <c r="L113" t="s">
        <v>123</v>
      </c>
      <c r="M113" t="s">
        <v>124</v>
      </c>
      <c r="N113">
        <v>124</v>
      </c>
      <c r="O113" t="s">
        <v>31</v>
      </c>
      <c r="P113">
        <v>43400</v>
      </c>
      <c r="Q113" t="s">
        <v>32</v>
      </c>
      <c r="R113">
        <v>1</v>
      </c>
      <c r="U113" t="s">
        <v>238</v>
      </c>
      <c r="V113">
        <v>350</v>
      </c>
      <c r="W113">
        <v>416.5</v>
      </c>
    </row>
    <row r="114" spans="1:23" hidden="1" x14ac:dyDescent="0.25">
      <c r="A114">
        <v>1000567497</v>
      </c>
      <c r="B114" t="s">
        <v>106</v>
      </c>
      <c r="C114" t="s">
        <v>110</v>
      </c>
      <c r="D114" t="s">
        <v>23</v>
      </c>
      <c r="E114" t="str">
        <f>VLOOKUP(D114,Catalogo!$A$1:$B$10,2)</f>
        <v>LightTree Innovations</v>
      </c>
      <c r="F114" t="s">
        <v>111</v>
      </c>
      <c r="G114" t="s">
        <v>25</v>
      </c>
      <c r="I114" t="s">
        <v>47</v>
      </c>
      <c r="J114" t="s">
        <v>115</v>
      </c>
      <c r="K114" t="s">
        <v>58</v>
      </c>
      <c r="L114" t="s">
        <v>180</v>
      </c>
      <c r="N114">
        <v>44</v>
      </c>
      <c r="O114" t="s">
        <v>31</v>
      </c>
      <c r="P114">
        <v>132</v>
      </c>
      <c r="Q114" t="s">
        <v>32</v>
      </c>
      <c r="R114">
        <v>1</v>
      </c>
      <c r="U114" t="s">
        <v>239</v>
      </c>
      <c r="V114">
        <v>3</v>
      </c>
      <c r="W114">
        <v>3.57</v>
      </c>
    </row>
    <row r="115" spans="1:23" hidden="1" x14ac:dyDescent="0.25">
      <c r="A115">
        <v>1000567500</v>
      </c>
      <c r="B115" t="s">
        <v>106</v>
      </c>
      <c r="C115" t="s">
        <v>169</v>
      </c>
      <c r="D115" t="s">
        <v>23</v>
      </c>
      <c r="E115" t="str">
        <f>VLOOKUP(D115,Catalogo!$A$1:$B$10,2)</f>
        <v>LightTree Innovations</v>
      </c>
      <c r="F115" t="s">
        <v>170</v>
      </c>
      <c r="G115" t="s">
        <v>25</v>
      </c>
      <c r="I115" t="s">
        <v>46</v>
      </c>
      <c r="J115" t="s">
        <v>47</v>
      </c>
      <c r="K115" t="s">
        <v>76</v>
      </c>
      <c r="L115" t="s">
        <v>47</v>
      </c>
      <c r="M115" t="s">
        <v>76</v>
      </c>
      <c r="N115">
        <v>56</v>
      </c>
      <c r="O115" t="s">
        <v>31</v>
      </c>
      <c r="P115">
        <v>66080</v>
      </c>
      <c r="Q115" t="s">
        <v>32</v>
      </c>
      <c r="R115">
        <v>1</v>
      </c>
      <c r="U115" t="s">
        <v>240</v>
      </c>
      <c r="V115">
        <v>1180</v>
      </c>
      <c r="W115">
        <v>1404.2</v>
      </c>
    </row>
    <row r="116" spans="1:23" hidden="1" x14ac:dyDescent="0.25">
      <c r="A116">
        <v>1000066000</v>
      </c>
      <c r="B116" t="s">
        <v>106</v>
      </c>
      <c r="C116" t="s">
        <v>196</v>
      </c>
      <c r="D116" t="s">
        <v>23</v>
      </c>
      <c r="E116" t="str">
        <f>VLOOKUP(D116,Catalogo!$A$1:$B$10,2)</f>
        <v>LightTree Innovations</v>
      </c>
      <c r="F116" t="s">
        <v>197</v>
      </c>
      <c r="G116" t="s">
        <v>37</v>
      </c>
      <c r="I116" t="s">
        <v>241</v>
      </c>
      <c r="J116" t="s">
        <v>242</v>
      </c>
      <c r="K116" t="s">
        <v>243</v>
      </c>
      <c r="L116" t="s">
        <v>242</v>
      </c>
      <c r="M116" t="s">
        <v>243</v>
      </c>
      <c r="N116">
        <v>1400</v>
      </c>
      <c r="O116" t="s">
        <v>31</v>
      </c>
      <c r="P116">
        <v>226800</v>
      </c>
      <c r="Q116" t="s">
        <v>32</v>
      </c>
      <c r="R116">
        <v>4</v>
      </c>
      <c r="U116" t="s">
        <v>63</v>
      </c>
      <c r="V116">
        <v>162</v>
      </c>
      <c r="W116">
        <v>192.78</v>
      </c>
    </row>
    <row r="117" spans="1:23" hidden="1" x14ac:dyDescent="0.25">
      <c r="A117">
        <v>1000066001</v>
      </c>
      <c r="B117" t="s">
        <v>106</v>
      </c>
      <c r="C117" t="s">
        <v>196</v>
      </c>
      <c r="D117" t="s">
        <v>23</v>
      </c>
      <c r="E117" t="str">
        <f>VLOOKUP(D117,Catalogo!$A$1:$B$10,2)</f>
        <v>LightTree Innovations</v>
      </c>
      <c r="F117" t="s">
        <v>197</v>
      </c>
      <c r="G117" t="s">
        <v>37</v>
      </c>
      <c r="I117" t="s">
        <v>241</v>
      </c>
      <c r="J117" t="s">
        <v>44</v>
      </c>
      <c r="K117" t="s">
        <v>244</v>
      </c>
      <c r="L117" t="s">
        <v>44</v>
      </c>
      <c r="M117" t="s">
        <v>244</v>
      </c>
      <c r="N117">
        <v>1400</v>
      </c>
      <c r="O117" t="s">
        <v>31</v>
      </c>
      <c r="P117">
        <v>226800</v>
      </c>
      <c r="Q117" t="s">
        <v>32</v>
      </c>
      <c r="R117">
        <v>4</v>
      </c>
      <c r="U117" t="s">
        <v>41</v>
      </c>
      <c r="V117">
        <v>162</v>
      </c>
      <c r="W117">
        <v>192.78</v>
      </c>
    </row>
    <row r="118" spans="1:23" hidden="1" x14ac:dyDescent="0.25">
      <c r="A118">
        <v>1000066002</v>
      </c>
      <c r="B118" t="s">
        <v>106</v>
      </c>
      <c r="C118" t="s">
        <v>196</v>
      </c>
      <c r="D118" t="s">
        <v>23</v>
      </c>
      <c r="E118" t="str">
        <f>VLOOKUP(D118,Catalogo!$A$1:$B$10,2)</f>
        <v>LightTree Innovations</v>
      </c>
      <c r="F118" t="s">
        <v>197</v>
      </c>
      <c r="G118" t="s">
        <v>37</v>
      </c>
      <c r="I118" t="s">
        <v>241</v>
      </c>
      <c r="J118" t="s">
        <v>245</v>
      </c>
      <c r="K118" t="s">
        <v>246</v>
      </c>
      <c r="L118" t="s">
        <v>245</v>
      </c>
      <c r="M118" t="s">
        <v>246</v>
      </c>
      <c r="N118">
        <v>1400</v>
      </c>
      <c r="O118" t="s">
        <v>31</v>
      </c>
      <c r="P118">
        <v>226800</v>
      </c>
      <c r="Q118" t="s">
        <v>32</v>
      </c>
      <c r="R118">
        <v>4</v>
      </c>
      <c r="U118" t="s">
        <v>67</v>
      </c>
      <c r="V118">
        <v>162</v>
      </c>
      <c r="W118">
        <v>192.78</v>
      </c>
    </row>
    <row r="119" spans="1:23" hidden="1" x14ac:dyDescent="0.25">
      <c r="A119">
        <v>1000066003</v>
      </c>
      <c r="B119" t="s">
        <v>106</v>
      </c>
      <c r="C119" t="s">
        <v>196</v>
      </c>
      <c r="D119" t="s">
        <v>23</v>
      </c>
      <c r="E119" t="str">
        <f>VLOOKUP(D119,Catalogo!$A$1:$B$10,2)</f>
        <v>LightTree Innovations</v>
      </c>
      <c r="F119" t="s">
        <v>197</v>
      </c>
      <c r="G119" t="s">
        <v>37</v>
      </c>
      <c r="I119" t="s">
        <v>241</v>
      </c>
      <c r="J119" t="s">
        <v>91</v>
      </c>
      <c r="K119" t="s">
        <v>90</v>
      </c>
      <c r="L119" t="s">
        <v>247</v>
      </c>
      <c r="M119" t="s">
        <v>92</v>
      </c>
      <c r="N119">
        <v>1400</v>
      </c>
      <c r="O119" t="s">
        <v>31</v>
      </c>
      <c r="P119">
        <v>226800</v>
      </c>
      <c r="Q119" t="s">
        <v>32</v>
      </c>
      <c r="R119">
        <v>4</v>
      </c>
      <c r="U119" t="s">
        <v>45</v>
      </c>
      <c r="V119">
        <v>162</v>
      </c>
      <c r="W119">
        <v>192.78</v>
      </c>
    </row>
    <row r="120" spans="1:23" hidden="1" x14ac:dyDescent="0.25">
      <c r="A120">
        <v>1000066004</v>
      </c>
      <c r="B120" t="s">
        <v>106</v>
      </c>
      <c r="C120" t="s">
        <v>196</v>
      </c>
      <c r="D120" t="s">
        <v>23</v>
      </c>
      <c r="E120" t="str">
        <f>VLOOKUP(D120,Catalogo!$A$1:$B$10,2)</f>
        <v>LightTree Innovations</v>
      </c>
      <c r="F120" t="s">
        <v>197</v>
      </c>
      <c r="G120" t="s">
        <v>37</v>
      </c>
      <c r="I120" t="s">
        <v>241</v>
      </c>
      <c r="J120" t="s">
        <v>248</v>
      </c>
      <c r="K120" t="s">
        <v>249</v>
      </c>
      <c r="L120" t="s">
        <v>250</v>
      </c>
      <c r="M120" t="s">
        <v>251</v>
      </c>
      <c r="N120">
        <v>1400</v>
      </c>
      <c r="O120" t="s">
        <v>31</v>
      </c>
      <c r="P120">
        <v>226800</v>
      </c>
      <c r="Q120" t="s">
        <v>32</v>
      </c>
      <c r="R120">
        <v>4</v>
      </c>
      <c r="U120" t="s">
        <v>252</v>
      </c>
      <c r="V120">
        <v>162</v>
      </c>
      <c r="W120">
        <v>192.78</v>
      </c>
    </row>
    <row r="121" spans="1:23" hidden="1" x14ac:dyDescent="0.25">
      <c r="A121">
        <v>1000066005</v>
      </c>
      <c r="B121" t="s">
        <v>106</v>
      </c>
      <c r="C121" t="s">
        <v>196</v>
      </c>
      <c r="D121" t="s">
        <v>23</v>
      </c>
      <c r="E121" t="str">
        <f>VLOOKUP(D121,Catalogo!$A$1:$B$10,2)</f>
        <v>LightTree Innovations</v>
      </c>
      <c r="F121" t="s">
        <v>197</v>
      </c>
      <c r="G121" t="s">
        <v>37</v>
      </c>
      <c r="I121" t="s">
        <v>241</v>
      </c>
      <c r="J121" t="s">
        <v>253</v>
      </c>
      <c r="K121" t="s">
        <v>254</v>
      </c>
      <c r="L121" t="s">
        <v>253</v>
      </c>
      <c r="M121" t="s">
        <v>254</v>
      </c>
      <c r="N121">
        <v>1400</v>
      </c>
      <c r="O121" t="s">
        <v>31</v>
      </c>
      <c r="P121">
        <v>226800</v>
      </c>
      <c r="Q121" t="s">
        <v>32</v>
      </c>
      <c r="R121">
        <v>4</v>
      </c>
      <c r="U121" t="s">
        <v>68</v>
      </c>
      <c r="V121">
        <v>162</v>
      </c>
      <c r="W121">
        <v>192.78</v>
      </c>
    </row>
    <row r="122" spans="1:23" hidden="1" x14ac:dyDescent="0.25">
      <c r="A122">
        <v>1000066006</v>
      </c>
      <c r="B122" t="s">
        <v>106</v>
      </c>
      <c r="C122" t="s">
        <v>157</v>
      </c>
      <c r="D122" t="s">
        <v>23</v>
      </c>
      <c r="E122" t="str">
        <f>VLOOKUP(D122,Catalogo!$A$1:$B$10,2)</f>
        <v>LightTree Innovations</v>
      </c>
      <c r="F122" t="s">
        <v>158</v>
      </c>
      <c r="G122" t="s">
        <v>37</v>
      </c>
      <c r="I122" t="s">
        <v>241</v>
      </c>
      <c r="J122" t="s">
        <v>242</v>
      </c>
      <c r="K122" t="s">
        <v>243</v>
      </c>
      <c r="L122" t="s">
        <v>242</v>
      </c>
      <c r="M122" t="s">
        <v>243</v>
      </c>
      <c r="N122">
        <v>1400</v>
      </c>
      <c r="O122" t="s">
        <v>31</v>
      </c>
      <c r="P122">
        <v>109900</v>
      </c>
      <c r="Q122" t="s">
        <v>32</v>
      </c>
      <c r="R122">
        <v>4</v>
      </c>
      <c r="U122" t="s">
        <v>85</v>
      </c>
      <c r="V122">
        <v>78.5</v>
      </c>
      <c r="W122">
        <v>93.414999999999992</v>
      </c>
    </row>
    <row r="123" spans="1:23" hidden="1" x14ac:dyDescent="0.25">
      <c r="A123">
        <v>1000066007</v>
      </c>
      <c r="B123" t="s">
        <v>106</v>
      </c>
      <c r="C123" t="s">
        <v>157</v>
      </c>
      <c r="D123" t="s">
        <v>23</v>
      </c>
      <c r="E123" t="str">
        <f>VLOOKUP(D123,Catalogo!$A$1:$B$10,2)</f>
        <v>LightTree Innovations</v>
      </c>
      <c r="F123" t="s">
        <v>158</v>
      </c>
      <c r="G123" t="s">
        <v>37</v>
      </c>
      <c r="I123" t="s">
        <v>241</v>
      </c>
      <c r="J123" t="s">
        <v>44</v>
      </c>
      <c r="K123" t="s">
        <v>244</v>
      </c>
      <c r="L123" t="s">
        <v>44</v>
      </c>
      <c r="M123" t="s">
        <v>244</v>
      </c>
      <c r="N123">
        <v>1400</v>
      </c>
      <c r="O123" t="s">
        <v>31</v>
      </c>
      <c r="P123">
        <v>109900</v>
      </c>
      <c r="Q123" t="s">
        <v>32</v>
      </c>
      <c r="R123">
        <v>4</v>
      </c>
      <c r="U123" t="s">
        <v>69</v>
      </c>
      <c r="V123">
        <v>78.5</v>
      </c>
      <c r="W123">
        <v>93.414999999999992</v>
      </c>
    </row>
    <row r="124" spans="1:23" hidden="1" x14ac:dyDescent="0.25">
      <c r="A124">
        <v>1000066008</v>
      </c>
      <c r="B124" t="s">
        <v>106</v>
      </c>
      <c r="C124" t="s">
        <v>157</v>
      </c>
      <c r="D124" t="s">
        <v>23</v>
      </c>
      <c r="E124" t="str">
        <f>VLOOKUP(D124,Catalogo!$A$1:$B$10,2)</f>
        <v>LightTree Innovations</v>
      </c>
      <c r="F124" t="s">
        <v>158</v>
      </c>
      <c r="G124" t="s">
        <v>37</v>
      </c>
      <c r="I124" t="s">
        <v>241</v>
      </c>
      <c r="J124" t="s">
        <v>245</v>
      </c>
      <c r="K124" t="s">
        <v>246</v>
      </c>
      <c r="L124" t="s">
        <v>245</v>
      </c>
      <c r="M124" t="s">
        <v>246</v>
      </c>
      <c r="N124">
        <v>1400</v>
      </c>
      <c r="O124" t="s">
        <v>31</v>
      </c>
      <c r="P124">
        <v>109900</v>
      </c>
      <c r="Q124" t="s">
        <v>32</v>
      </c>
      <c r="R124">
        <v>4</v>
      </c>
      <c r="U124" t="s">
        <v>86</v>
      </c>
      <c r="V124">
        <v>78.5</v>
      </c>
      <c r="W124">
        <v>93.414999999999992</v>
      </c>
    </row>
    <row r="125" spans="1:23" hidden="1" x14ac:dyDescent="0.25">
      <c r="A125">
        <v>1000066009</v>
      </c>
      <c r="B125" t="s">
        <v>106</v>
      </c>
      <c r="C125" t="s">
        <v>157</v>
      </c>
      <c r="D125" t="s">
        <v>23</v>
      </c>
      <c r="E125" t="str">
        <f>VLOOKUP(D125,Catalogo!$A$1:$B$10,2)</f>
        <v>LightTree Innovations</v>
      </c>
      <c r="F125" t="s">
        <v>158</v>
      </c>
      <c r="G125" t="s">
        <v>37</v>
      </c>
      <c r="I125" t="s">
        <v>241</v>
      </c>
      <c r="J125" t="s">
        <v>91</v>
      </c>
      <c r="K125" t="s">
        <v>90</v>
      </c>
      <c r="L125" t="s">
        <v>247</v>
      </c>
      <c r="M125" t="s">
        <v>92</v>
      </c>
      <c r="N125">
        <v>1400</v>
      </c>
      <c r="O125" t="s">
        <v>31</v>
      </c>
      <c r="P125">
        <v>109900</v>
      </c>
      <c r="Q125" t="s">
        <v>32</v>
      </c>
      <c r="R125">
        <v>4</v>
      </c>
      <c r="U125" t="s">
        <v>70</v>
      </c>
      <c r="V125">
        <v>78.5</v>
      </c>
      <c r="W125">
        <v>93.414999999999992</v>
      </c>
    </row>
    <row r="126" spans="1:23" hidden="1" x14ac:dyDescent="0.25">
      <c r="A126">
        <v>1000066010</v>
      </c>
      <c r="B126" t="s">
        <v>106</v>
      </c>
      <c r="C126" t="s">
        <v>157</v>
      </c>
      <c r="D126" t="s">
        <v>23</v>
      </c>
      <c r="E126" t="str">
        <f>VLOOKUP(D126,Catalogo!$A$1:$B$10,2)</f>
        <v>LightTree Innovations</v>
      </c>
      <c r="F126" t="s">
        <v>158</v>
      </c>
      <c r="G126" t="s">
        <v>37</v>
      </c>
      <c r="I126" t="s">
        <v>241</v>
      </c>
      <c r="J126" t="s">
        <v>248</v>
      </c>
      <c r="K126" t="s">
        <v>249</v>
      </c>
      <c r="L126" t="s">
        <v>248</v>
      </c>
      <c r="M126" t="s">
        <v>249</v>
      </c>
      <c r="N126">
        <v>1400</v>
      </c>
      <c r="O126" t="s">
        <v>31</v>
      </c>
      <c r="P126">
        <v>109900</v>
      </c>
      <c r="Q126" t="s">
        <v>32</v>
      </c>
      <c r="R126">
        <v>4</v>
      </c>
      <c r="U126" t="s">
        <v>97</v>
      </c>
      <c r="V126">
        <v>78.5</v>
      </c>
      <c r="W126">
        <v>93.414999999999992</v>
      </c>
    </row>
    <row r="127" spans="1:23" hidden="1" x14ac:dyDescent="0.25">
      <c r="A127">
        <v>1000066011</v>
      </c>
      <c r="B127" t="s">
        <v>106</v>
      </c>
      <c r="C127" t="s">
        <v>157</v>
      </c>
      <c r="D127" t="s">
        <v>23</v>
      </c>
      <c r="E127" t="str">
        <f>VLOOKUP(D127,Catalogo!$A$1:$B$10,2)</f>
        <v>LightTree Innovations</v>
      </c>
      <c r="F127" t="s">
        <v>158</v>
      </c>
      <c r="G127" t="s">
        <v>37</v>
      </c>
      <c r="I127" t="s">
        <v>241</v>
      </c>
      <c r="J127" t="s">
        <v>253</v>
      </c>
      <c r="K127" t="s">
        <v>254</v>
      </c>
      <c r="L127" t="s">
        <v>253</v>
      </c>
      <c r="M127" t="s">
        <v>254</v>
      </c>
      <c r="N127">
        <v>1400</v>
      </c>
      <c r="O127" t="s">
        <v>31</v>
      </c>
      <c r="P127">
        <v>109900</v>
      </c>
      <c r="Q127" t="s">
        <v>32</v>
      </c>
      <c r="R127">
        <v>4</v>
      </c>
      <c r="U127" t="s">
        <v>255</v>
      </c>
      <c r="V127">
        <v>78.5</v>
      </c>
      <c r="W127">
        <v>93.414999999999992</v>
      </c>
    </row>
    <row r="128" spans="1:23" hidden="1" x14ac:dyDescent="0.25">
      <c r="A128">
        <v>1000567200</v>
      </c>
      <c r="B128" t="s">
        <v>106</v>
      </c>
      <c r="C128" t="s">
        <v>110</v>
      </c>
      <c r="D128" t="s">
        <v>23</v>
      </c>
      <c r="E128" t="str">
        <f>VLOOKUP(D128,Catalogo!$A$1:$B$10,2)</f>
        <v>LightTree Innovations</v>
      </c>
      <c r="F128" t="s">
        <v>111</v>
      </c>
      <c r="G128" t="s">
        <v>37</v>
      </c>
      <c r="I128" t="s">
        <v>122</v>
      </c>
      <c r="J128" t="s">
        <v>123</v>
      </c>
      <c r="K128" t="s">
        <v>124</v>
      </c>
      <c r="L128" t="s">
        <v>123</v>
      </c>
      <c r="M128" t="s">
        <v>124</v>
      </c>
      <c r="N128">
        <v>320</v>
      </c>
      <c r="O128" t="s">
        <v>31</v>
      </c>
      <c r="P128">
        <v>960</v>
      </c>
      <c r="Q128" t="s">
        <v>32</v>
      </c>
      <c r="R128">
        <v>1</v>
      </c>
      <c r="U128" t="s">
        <v>256</v>
      </c>
      <c r="V128">
        <v>3</v>
      </c>
      <c r="W128">
        <v>3.57</v>
      </c>
    </row>
    <row r="129" spans="1:23" hidden="1" x14ac:dyDescent="0.25">
      <c r="A129">
        <v>1000567204</v>
      </c>
      <c r="B129" t="s">
        <v>106</v>
      </c>
      <c r="C129" t="s">
        <v>113</v>
      </c>
      <c r="D129" t="s">
        <v>23</v>
      </c>
      <c r="E129" t="str">
        <f>VLOOKUP(D129,Catalogo!$A$1:$B$10,2)</f>
        <v>LightTree Innovations</v>
      </c>
      <c r="F129" t="s">
        <v>114</v>
      </c>
      <c r="G129" t="s">
        <v>37</v>
      </c>
      <c r="I129" t="s">
        <v>122</v>
      </c>
      <c r="J129" t="s">
        <v>123</v>
      </c>
      <c r="K129" t="s">
        <v>124</v>
      </c>
      <c r="L129" t="s">
        <v>123</v>
      </c>
      <c r="M129" t="s">
        <v>124</v>
      </c>
      <c r="N129">
        <v>124</v>
      </c>
      <c r="O129" t="s">
        <v>31</v>
      </c>
      <c r="P129">
        <v>56420</v>
      </c>
      <c r="Q129" t="s">
        <v>32</v>
      </c>
      <c r="R129">
        <v>1</v>
      </c>
      <c r="U129" t="s">
        <v>257</v>
      </c>
      <c r="V129">
        <v>455</v>
      </c>
      <c r="W129">
        <v>541.44999999999993</v>
      </c>
    </row>
    <row r="130" spans="1:23" hidden="1" x14ac:dyDescent="0.25">
      <c r="A130">
        <v>1000567205</v>
      </c>
      <c r="B130" t="s">
        <v>106</v>
      </c>
      <c r="C130" t="s">
        <v>113</v>
      </c>
      <c r="D130" t="s">
        <v>23</v>
      </c>
      <c r="E130" t="str">
        <f>VLOOKUP(D130,Catalogo!$A$1:$B$10,2)</f>
        <v>LightTree Innovations</v>
      </c>
      <c r="F130" t="s">
        <v>114</v>
      </c>
      <c r="G130" t="s">
        <v>37</v>
      </c>
      <c r="I130" t="s">
        <v>122</v>
      </c>
      <c r="J130" t="s">
        <v>123</v>
      </c>
      <c r="K130" t="s">
        <v>124</v>
      </c>
      <c r="L130" t="s">
        <v>123</v>
      </c>
      <c r="M130" t="s">
        <v>124</v>
      </c>
      <c r="N130">
        <v>320</v>
      </c>
      <c r="O130" t="s">
        <v>31</v>
      </c>
      <c r="P130">
        <v>145600</v>
      </c>
      <c r="Q130" t="s">
        <v>32</v>
      </c>
      <c r="R130">
        <v>1</v>
      </c>
      <c r="U130" t="s">
        <v>258</v>
      </c>
      <c r="V130">
        <v>455</v>
      </c>
      <c r="W130">
        <v>541.44999999999993</v>
      </c>
    </row>
    <row r="131" spans="1:23" hidden="1" x14ac:dyDescent="0.25">
      <c r="A131">
        <v>1000567207</v>
      </c>
      <c r="B131" t="s">
        <v>106</v>
      </c>
      <c r="C131" t="s">
        <v>117</v>
      </c>
      <c r="D131" t="s">
        <v>23</v>
      </c>
      <c r="E131" t="str">
        <f>VLOOKUP(D131,Catalogo!$A$1:$B$10,2)</f>
        <v>LightTree Innovations</v>
      </c>
      <c r="F131" t="s">
        <v>118</v>
      </c>
      <c r="G131" t="s">
        <v>37</v>
      </c>
      <c r="I131" t="s">
        <v>122</v>
      </c>
      <c r="J131" t="s">
        <v>123</v>
      </c>
      <c r="K131" t="s">
        <v>124</v>
      </c>
      <c r="L131" t="s">
        <v>123</v>
      </c>
      <c r="M131" t="s">
        <v>124</v>
      </c>
      <c r="N131">
        <v>124</v>
      </c>
      <c r="O131" t="s">
        <v>31</v>
      </c>
      <c r="P131">
        <v>2356</v>
      </c>
      <c r="Q131" t="s">
        <v>32</v>
      </c>
      <c r="R131">
        <v>1</v>
      </c>
      <c r="U131" t="s">
        <v>259</v>
      </c>
      <c r="V131">
        <v>19</v>
      </c>
      <c r="W131">
        <v>22.61</v>
      </c>
    </row>
    <row r="132" spans="1:23" hidden="1" x14ac:dyDescent="0.25">
      <c r="A132">
        <v>1000567209</v>
      </c>
      <c r="B132" t="s">
        <v>106</v>
      </c>
      <c r="C132" t="s">
        <v>110</v>
      </c>
      <c r="D132" t="s">
        <v>23</v>
      </c>
      <c r="E132" t="str">
        <f>VLOOKUP(D132,Catalogo!$A$1:$B$10,2)</f>
        <v>LightTree Innovations</v>
      </c>
      <c r="F132" t="s">
        <v>111</v>
      </c>
      <c r="G132" t="s">
        <v>37</v>
      </c>
      <c r="I132" t="s">
        <v>122</v>
      </c>
      <c r="J132" t="s">
        <v>123</v>
      </c>
      <c r="K132" t="s">
        <v>124</v>
      </c>
      <c r="L132" t="s">
        <v>123</v>
      </c>
      <c r="M132" t="s">
        <v>124</v>
      </c>
      <c r="N132">
        <v>320</v>
      </c>
      <c r="O132" t="s">
        <v>31</v>
      </c>
      <c r="P132">
        <v>1600</v>
      </c>
      <c r="Q132" t="s">
        <v>32</v>
      </c>
      <c r="R132">
        <v>1</v>
      </c>
      <c r="U132" t="s">
        <v>260</v>
      </c>
      <c r="V132">
        <v>5</v>
      </c>
      <c r="W132">
        <v>5.9499999999999993</v>
      </c>
    </row>
    <row r="133" spans="1:23" hidden="1" x14ac:dyDescent="0.25">
      <c r="A133">
        <v>1000567210</v>
      </c>
      <c r="B133" t="s">
        <v>106</v>
      </c>
      <c r="C133" t="s">
        <v>169</v>
      </c>
      <c r="D133" t="s">
        <v>23</v>
      </c>
      <c r="E133" t="str">
        <f>VLOOKUP(D133,Catalogo!$A$1:$B$10,2)</f>
        <v>LightTree Innovations</v>
      </c>
      <c r="F133" t="s">
        <v>170</v>
      </c>
      <c r="G133" t="s">
        <v>37</v>
      </c>
      <c r="I133" t="s">
        <v>122</v>
      </c>
      <c r="J133" t="s">
        <v>123</v>
      </c>
      <c r="K133" t="s">
        <v>124</v>
      </c>
      <c r="L133" t="s">
        <v>123</v>
      </c>
      <c r="M133" t="s">
        <v>124</v>
      </c>
      <c r="N133">
        <v>320</v>
      </c>
      <c r="O133" t="s">
        <v>31</v>
      </c>
      <c r="P133">
        <v>316800</v>
      </c>
      <c r="Q133" t="s">
        <v>32</v>
      </c>
      <c r="R133">
        <v>1</v>
      </c>
      <c r="U133" t="s">
        <v>261</v>
      </c>
      <c r="V133">
        <v>990</v>
      </c>
      <c r="W133">
        <v>1178.0999999999999</v>
      </c>
    </row>
    <row r="134" spans="1:23" hidden="1" x14ac:dyDescent="0.25">
      <c r="A134">
        <v>1000567218</v>
      </c>
      <c r="B134" t="s">
        <v>106</v>
      </c>
      <c r="C134" t="s">
        <v>148</v>
      </c>
      <c r="D134" t="s">
        <v>23</v>
      </c>
      <c r="E134" t="str">
        <f>VLOOKUP(D134,Catalogo!$A$1:$B$10,2)</f>
        <v>LightTree Innovations</v>
      </c>
      <c r="F134" t="s">
        <v>149</v>
      </c>
      <c r="G134" t="s">
        <v>37</v>
      </c>
      <c r="I134" t="s">
        <v>122</v>
      </c>
      <c r="J134" t="s">
        <v>123</v>
      </c>
      <c r="K134" t="s">
        <v>124</v>
      </c>
      <c r="L134" t="s">
        <v>123</v>
      </c>
      <c r="M134" t="s">
        <v>124</v>
      </c>
      <c r="N134">
        <v>124</v>
      </c>
      <c r="O134" t="s">
        <v>31</v>
      </c>
      <c r="P134">
        <v>51088</v>
      </c>
      <c r="Q134" t="s">
        <v>32</v>
      </c>
      <c r="R134">
        <v>1</v>
      </c>
      <c r="U134" t="s">
        <v>262</v>
      </c>
      <c r="V134">
        <v>412</v>
      </c>
      <c r="W134">
        <v>490.28</v>
      </c>
    </row>
    <row r="135" spans="1:23" hidden="1" x14ac:dyDescent="0.25">
      <c r="A135">
        <v>1000567227</v>
      </c>
      <c r="B135" t="s">
        <v>106</v>
      </c>
      <c r="C135" t="s">
        <v>110</v>
      </c>
      <c r="D135" t="s">
        <v>23</v>
      </c>
      <c r="E135" t="str">
        <f>VLOOKUP(D135,Catalogo!$A$1:$B$10,2)</f>
        <v>LightTree Innovations</v>
      </c>
      <c r="F135" t="s">
        <v>111</v>
      </c>
      <c r="G135" t="s">
        <v>37</v>
      </c>
      <c r="I135" t="s">
        <v>122</v>
      </c>
      <c r="J135" t="s">
        <v>123</v>
      </c>
      <c r="K135" t="s">
        <v>124</v>
      </c>
      <c r="L135" t="s">
        <v>123</v>
      </c>
      <c r="M135" t="s">
        <v>124</v>
      </c>
      <c r="N135">
        <v>320</v>
      </c>
      <c r="O135" t="s">
        <v>31</v>
      </c>
      <c r="P135">
        <v>960</v>
      </c>
      <c r="Q135" t="s">
        <v>32</v>
      </c>
      <c r="R135">
        <v>1</v>
      </c>
      <c r="U135" t="s">
        <v>263</v>
      </c>
      <c r="V135">
        <v>3</v>
      </c>
      <c r="W135">
        <v>3.57</v>
      </c>
    </row>
    <row r="136" spans="1:23" hidden="1" x14ac:dyDescent="0.25">
      <c r="A136">
        <v>1000567228</v>
      </c>
      <c r="B136" t="s">
        <v>106</v>
      </c>
      <c r="C136" t="s">
        <v>126</v>
      </c>
      <c r="D136" t="s">
        <v>23</v>
      </c>
      <c r="E136" t="str">
        <f>VLOOKUP(D136,Catalogo!$A$1:$B$10,2)</f>
        <v>LightTree Innovations</v>
      </c>
      <c r="F136" t="s">
        <v>127</v>
      </c>
      <c r="G136" t="s">
        <v>37</v>
      </c>
      <c r="I136" t="s">
        <v>122</v>
      </c>
      <c r="J136" t="s">
        <v>123</v>
      </c>
      <c r="K136" t="s">
        <v>124</v>
      </c>
      <c r="L136" t="s">
        <v>123</v>
      </c>
      <c r="M136" t="s">
        <v>124</v>
      </c>
      <c r="N136">
        <v>320</v>
      </c>
      <c r="O136" t="s">
        <v>31</v>
      </c>
      <c r="P136">
        <v>17600</v>
      </c>
      <c r="Q136" t="s">
        <v>32</v>
      </c>
      <c r="R136">
        <v>1</v>
      </c>
      <c r="U136" t="s">
        <v>264</v>
      </c>
      <c r="V136">
        <v>55</v>
      </c>
      <c r="W136">
        <v>65.45</v>
      </c>
    </row>
    <row r="137" spans="1:23" hidden="1" x14ac:dyDescent="0.25">
      <c r="A137">
        <v>1000567230</v>
      </c>
      <c r="B137" t="s">
        <v>106</v>
      </c>
      <c r="C137" t="s">
        <v>135</v>
      </c>
      <c r="D137" t="s">
        <v>23</v>
      </c>
      <c r="E137" t="str">
        <f>VLOOKUP(D137,Catalogo!$A$1:$B$10,2)</f>
        <v>LightTree Innovations</v>
      </c>
      <c r="F137" t="s">
        <v>136</v>
      </c>
      <c r="G137" t="s">
        <v>37</v>
      </c>
      <c r="I137" t="s">
        <v>122</v>
      </c>
      <c r="J137" t="s">
        <v>123</v>
      </c>
      <c r="K137" t="s">
        <v>124</v>
      </c>
      <c r="L137" t="s">
        <v>265</v>
      </c>
      <c r="M137" t="s">
        <v>71</v>
      </c>
      <c r="N137">
        <v>124</v>
      </c>
      <c r="O137" t="s">
        <v>31</v>
      </c>
      <c r="P137">
        <v>13392</v>
      </c>
      <c r="Q137" t="s">
        <v>32</v>
      </c>
      <c r="R137">
        <v>1</v>
      </c>
      <c r="U137" t="s">
        <v>266</v>
      </c>
      <c r="V137">
        <v>108</v>
      </c>
      <c r="W137">
        <v>128.52000000000001</v>
      </c>
    </row>
    <row r="138" spans="1:23" hidden="1" x14ac:dyDescent="0.25">
      <c r="A138">
        <v>1000567231</v>
      </c>
      <c r="B138" t="s">
        <v>106</v>
      </c>
      <c r="C138" t="s">
        <v>176</v>
      </c>
      <c r="D138" t="s">
        <v>23</v>
      </c>
      <c r="E138" t="str">
        <f>VLOOKUP(D138,Catalogo!$A$1:$B$10,2)</f>
        <v>LightTree Innovations</v>
      </c>
      <c r="F138" t="s">
        <v>177</v>
      </c>
      <c r="G138" t="s">
        <v>37</v>
      </c>
      <c r="I138" t="s">
        <v>122</v>
      </c>
      <c r="J138" t="s">
        <v>123</v>
      </c>
      <c r="K138" t="s">
        <v>124</v>
      </c>
      <c r="L138" t="s">
        <v>123</v>
      </c>
      <c r="M138" t="s">
        <v>124</v>
      </c>
      <c r="N138">
        <v>320</v>
      </c>
      <c r="O138" t="s">
        <v>31</v>
      </c>
      <c r="P138">
        <v>64960</v>
      </c>
      <c r="Q138" t="s">
        <v>32</v>
      </c>
      <c r="R138">
        <v>1</v>
      </c>
      <c r="U138" t="s">
        <v>267</v>
      </c>
      <c r="V138">
        <v>203</v>
      </c>
      <c r="W138">
        <v>241.57</v>
      </c>
    </row>
    <row r="139" spans="1:23" hidden="1" x14ac:dyDescent="0.25">
      <c r="A139">
        <v>1000567232</v>
      </c>
      <c r="B139" t="s">
        <v>106</v>
      </c>
      <c r="C139" t="s">
        <v>186</v>
      </c>
      <c r="D139" t="s">
        <v>23</v>
      </c>
      <c r="E139" t="str">
        <f>VLOOKUP(D139,Catalogo!$A$1:$B$10,2)</f>
        <v>LightTree Innovations</v>
      </c>
      <c r="F139" t="s">
        <v>187</v>
      </c>
      <c r="G139" t="s">
        <v>37</v>
      </c>
      <c r="I139" t="s">
        <v>122</v>
      </c>
      <c r="J139" t="s">
        <v>123</v>
      </c>
      <c r="K139" t="s">
        <v>124</v>
      </c>
      <c r="L139" t="s">
        <v>123</v>
      </c>
      <c r="M139" t="s">
        <v>124</v>
      </c>
      <c r="N139">
        <v>124</v>
      </c>
      <c r="O139" t="s">
        <v>31</v>
      </c>
      <c r="P139">
        <v>15128</v>
      </c>
      <c r="Q139" t="s">
        <v>32</v>
      </c>
      <c r="R139">
        <v>1</v>
      </c>
      <c r="U139" t="s">
        <v>268</v>
      </c>
      <c r="V139">
        <v>122</v>
      </c>
      <c r="W139">
        <v>145.18</v>
      </c>
    </row>
    <row r="140" spans="1:23" hidden="1" x14ac:dyDescent="0.25">
      <c r="A140">
        <v>1000567238</v>
      </c>
      <c r="B140" t="s">
        <v>106</v>
      </c>
      <c r="C140" t="s">
        <v>110</v>
      </c>
      <c r="D140" t="s">
        <v>23</v>
      </c>
      <c r="E140" t="str">
        <f>VLOOKUP(D140,Catalogo!$A$1:$B$10,2)</f>
        <v>LightTree Innovations</v>
      </c>
      <c r="F140" t="s">
        <v>111</v>
      </c>
      <c r="G140" t="s">
        <v>37</v>
      </c>
      <c r="I140" t="s">
        <v>122</v>
      </c>
      <c r="J140" t="s">
        <v>123</v>
      </c>
      <c r="K140" t="s">
        <v>124</v>
      </c>
      <c r="L140" t="s">
        <v>51</v>
      </c>
      <c r="M140" t="s">
        <v>269</v>
      </c>
      <c r="N140">
        <v>124</v>
      </c>
      <c r="O140" t="s">
        <v>31</v>
      </c>
      <c r="P140">
        <v>372</v>
      </c>
      <c r="Q140" t="s">
        <v>32</v>
      </c>
      <c r="R140">
        <v>1</v>
      </c>
      <c r="U140" t="s">
        <v>270</v>
      </c>
      <c r="V140">
        <v>3</v>
      </c>
      <c r="W140">
        <v>3.57</v>
      </c>
    </row>
    <row r="141" spans="1:23" hidden="1" x14ac:dyDescent="0.25">
      <c r="A141">
        <v>1000567242</v>
      </c>
      <c r="B141" t="s">
        <v>106</v>
      </c>
      <c r="C141" t="s">
        <v>271</v>
      </c>
      <c r="D141" t="s">
        <v>23</v>
      </c>
      <c r="E141" t="str">
        <f>VLOOKUP(D141,Catalogo!$A$1:$B$10,2)</f>
        <v>LightTree Innovations</v>
      </c>
      <c r="F141" t="s">
        <v>272</v>
      </c>
      <c r="G141" t="s">
        <v>37</v>
      </c>
      <c r="I141" t="s">
        <v>122</v>
      </c>
      <c r="J141" t="s">
        <v>123</v>
      </c>
      <c r="K141" t="s">
        <v>124</v>
      </c>
      <c r="L141" t="s">
        <v>123</v>
      </c>
      <c r="M141" t="s">
        <v>124</v>
      </c>
      <c r="N141">
        <v>124</v>
      </c>
      <c r="O141" t="s">
        <v>31</v>
      </c>
      <c r="P141">
        <v>117800</v>
      </c>
      <c r="Q141" t="s">
        <v>32</v>
      </c>
      <c r="R141">
        <v>1</v>
      </c>
      <c r="U141" t="s">
        <v>273</v>
      </c>
      <c r="V141">
        <v>950</v>
      </c>
      <c r="W141">
        <v>1130.5</v>
      </c>
    </row>
    <row r="142" spans="1:23" hidden="1" x14ac:dyDescent="0.25">
      <c r="A142">
        <v>1000567256</v>
      </c>
      <c r="B142" t="s">
        <v>106</v>
      </c>
      <c r="C142" t="s">
        <v>107</v>
      </c>
      <c r="D142" t="s">
        <v>23</v>
      </c>
      <c r="E142" t="str">
        <f>VLOOKUP(D142,Catalogo!$A$1:$B$10,2)</f>
        <v>LightTree Innovations</v>
      </c>
      <c r="F142" t="s">
        <v>108</v>
      </c>
      <c r="G142" t="s">
        <v>37</v>
      </c>
      <c r="I142" t="s">
        <v>122</v>
      </c>
      <c r="J142" t="s">
        <v>123</v>
      </c>
      <c r="K142" t="s">
        <v>124</v>
      </c>
      <c r="L142" t="s">
        <v>123</v>
      </c>
      <c r="M142" t="s">
        <v>124</v>
      </c>
      <c r="N142">
        <v>320</v>
      </c>
      <c r="O142" t="s">
        <v>31</v>
      </c>
      <c r="P142">
        <v>1769600</v>
      </c>
      <c r="Q142" t="s">
        <v>32</v>
      </c>
      <c r="R142">
        <v>1</v>
      </c>
      <c r="U142" t="s">
        <v>274</v>
      </c>
      <c r="V142">
        <v>5530</v>
      </c>
      <c r="W142">
        <v>6580.7</v>
      </c>
    </row>
    <row r="143" spans="1:23" hidden="1" x14ac:dyDescent="0.25">
      <c r="A143">
        <v>1000567257</v>
      </c>
      <c r="B143" t="s">
        <v>106</v>
      </c>
      <c r="C143" t="s">
        <v>107</v>
      </c>
      <c r="D143" t="s">
        <v>23</v>
      </c>
      <c r="E143" t="str">
        <f>VLOOKUP(D143,Catalogo!$A$1:$B$10,2)</f>
        <v>LightTree Innovations</v>
      </c>
      <c r="F143" t="s">
        <v>108</v>
      </c>
      <c r="G143" t="s">
        <v>37</v>
      </c>
      <c r="I143" t="s">
        <v>122</v>
      </c>
      <c r="J143" t="s">
        <v>123</v>
      </c>
      <c r="K143" t="s">
        <v>124</v>
      </c>
      <c r="L143" t="s">
        <v>123</v>
      </c>
      <c r="M143" t="s">
        <v>124</v>
      </c>
      <c r="N143">
        <v>124</v>
      </c>
      <c r="O143" t="s">
        <v>31</v>
      </c>
      <c r="P143">
        <v>569408</v>
      </c>
      <c r="Q143" t="s">
        <v>32</v>
      </c>
      <c r="R143">
        <v>1</v>
      </c>
      <c r="U143" t="s">
        <v>275</v>
      </c>
      <c r="V143">
        <v>4592</v>
      </c>
      <c r="W143">
        <v>5464.48</v>
      </c>
    </row>
    <row r="144" spans="1:23" hidden="1" x14ac:dyDescent="0.25">
      <c r="A144">
        <v>1000567259</v>
      </c>
      <c r="B144" t="s">
        <v>106</v>
      </c>
      <c r="C144" t="s">
        <v>210</v>
      </c>
      <c r="D144" t="s">
        <v>23</v>
      </c>
      <c r="E144" t="str">
        <f>VLOOKUP(D144,Catalogo!$A$1:$B$10,2)</f>
        <v>LightTree Innovations</v>
      </c>
      <c r="F144" t="s">
        <v>211</v>
      </c>
      <c r="G144" t="s">
        <v>37</v>
      </c>
      <c r="I144" t="s">
        <v>122</v>
      </c>
      <c r="J144" t="s">
        <v>123</v>
      </c>
      <c r="K144" t="s">
        <v>124</v>
      </c>
      <c r="L144" t="s">
        <v>123</v>
      </c>
      <c r="M144" t="s">
        <v>124</v>
      </c>
      <c r="N144">
        <v>320</v>
      </c>
      <c r="O144" t="s">
        <v>31</v>
      </c>
      <c r="P144">
        <v>60480</v>
      </c>
      <c r="Q144" t="s">
        <v>32</v>
      </c>
      <c r="R144">
        <v>1</v>
      </c>
      <c r="U144" t="s">
        <v>276</v>
      </c>
      <c r="V144">
        <v>189</v>
      </c>
      <c r="W144">
        <v>224.91</v>
      </c>
    </row>
    <row r="145" spans="1:23" hidden="1" x14ac:dyDescent="0.25">
      <c r="A145">
        <v>1000567261</v>
      </c>
      <c r="B145" t="s">
        <v>106</v>
      </c>
      <c r="C145" t="s">
        <v>113</v>
      </c>
      <c r="D145" t="s">
        <v>23</v>
      </c>
      <c r="E145" t="str">
        <f>VLOOKUP(D145,Catalogo!$A$1:$B$10,2)</f>
        <v>LightTree Innovations</v>
      </c>
      <c r="F145" t="s">
        <v>114</v>
      </c>
      <c r="G145" t="s">
        <v>37</v>
      </c>
      <c r="I145" t="s">
        <v>122</v>
      </c>
      <c r="J145" t="s">
        <v>123</v>
      </c>
      <c r="K145" t="s">
        <v>124</v>
      </c>
      <c r="L145" t="s">
        <v>123</v>
      </c>
      <c r="M145" t="s">
        <v>124</v>
      </c>
      <c r="N145">
        <v>320</v>
      </c>
      <c r="O145" t="s">
        <v>31</v>
      </c>
      <c r="P145">
        <v>145600</v>
      </c>
      <c r="Q145" t="s">
        <v>32</v>
      </c>
      <c r="R145">
        <v>1</v>
      </c>
      <c r="U145" t="s">
        <v>277</v>
      </c>
      <c r="V145">
        <v>455</v>
      </c>
      <c r="W145">
        <v>541.44999999999993</v>
      </c>
    </row>
    <row r="146" spans="1:23" hidden="1" x14ac:dyDescent="0.25">
      <c r="A146">
        <v>1000567266</v>
      </c>
      <c r="B146" t="s">
        <v>106</v>
      </c>
      <c r="C146" t="s">
        <v>157</v>
      </c>
      <c r="D146" t="s">
        <v>23</v>
      </c>
      <c r="E146" t="str">
        <f>VLOOKUP(D146,Catalogo!$A$1:$B$10,2)</f>
        <v>LightTree Innovations</v>
      </c>
      <c r="F146" t="s">
        <v>158</v>
      </c>
      <c r="G146" t="s">
        <v>37</v>
      </c>
      <c r="I146" t="s">
        <v>122</v>
      </c>
      <c r="J146" t="s">
        <v>123</v>
      </c>
      <c r="K146" t="s">
        <v>124</v>
      </c>
      <c r="L146" t="s">
        <v>221</v>
      </c>
      <c r="M146" t="s">
        <v>151</v>
      </c>
      <c r="N146">
        <v>320</v>
      </c>
      <c r="O146" t="s">
        <v>31</v>
      </c>
      <c r="P146">
        <v>16000</v>
      </c>
      <c r="Q146" t="s">
        <v>32</v>
      </c>
      <c r="R146">
        <v>1</v>
      </c>
      <c r="U146" t="s">
        <v>278</v>
      </c>
      <c r="V146">
        <v>50</v>
      </c>
      <c r="W146">
        <v>59.5</v>
      </c>
    </row>
    <row r="147" spans="1:23" hidden="1" x14ac:dyDescent="0.25">
      <c r="A147">
        <v>1000567274</v>
      </c>
      <c r="B147" t="s">
        <v>106</v>
      </c>
      <c r="C147" t="s">
        <v>176</v>
      </c>
      <c r="D147" t="s">
        <v>23</v>
      </c>
      <c r="E147" t="str">
        <f>VLOOKUP(D147,Catalogo!$A$1:$B$10,2)</f>
        <v>LightTree Innovations</v>
      </c>
      <c r="F147" t="s">
        <v>177</v>
      </c>
      <c r="G147" t="s">
        <v>37</v>
      </c>
      <c r="I147" t="s">
        <v>122</v>
      </c>
      <c r="J147" t="s">
        <v>123</v>
      </c>
      <c r="K147" t="s">
        <v>124</v>
      </c>
      <c r="L147" t="s">
        <v>123</v>
      </c>
      <c r="M147" t="s">
        <v>124</v>
      </c>
      <c r="N147">
        <v>320</v>
      </c>
      <c r="O147" t="s">
        <v>31</v>
      </c>
      <c r="P147">
        <v>64960</v>
      </c>
      <c r="Q147" t="s">
        <v>32</v>
      </c>
      <c r="R147">
        <v>1</v>
      </c>
      <c r="U147" t="s">
        <v>279</v>
      </c>
      <c r="V147">
        <v>203</v>
      </c>
      <c r="W147">
        <v>241.57</v>
      </c>
    </row>
    <row r="148" spans="1:23" hidden="1" x14ac:dyDescent="0.25">
      <c r="A148">
        <v>1000567276</v>
      </c>
      <c r="B148" t="s">
        <v>106</v>
      </c>
      <c r="C148" t="s">
        <v>107</v>
      </c>
      <c r="D148" t="s">
        <v>23</v>
      </c>
      <c r="E148" t="str">
        <f>VLOOKUP(D148,Catalogo!$A$1:$B$10,2)</f>
        <v>LightTree Innovations</v>
      </c>
      <c r="F148" t="s">
        <v>108</v>
      </c>
      <c r="G148" t="s">
        <v>37</v>
      </c>
      <c r="I148" t="s">
        <v>122</v>
      </c>
      <c r="J148" t="s">
        <v>123</v>
      </c>
      <c r="K148" t="s">
        <v>124</v>
      </c>
      <c r="L148" t="s">
        <v>123</v>
      </c>
      <c r="M148" t="s">
        <v>124</v>
      </c>
      <c r="N148">
        <v>320</v>
      </c>
      <c r="O148" t="s">
        <v>31</v>
      </c>
      <c r="P148">
        <v>1769600</v>
      </c>
      <c r="Q148" t="s">
        <v>32</v>
      </c>
      <c r="R148">
        <v>1</v>
      </c>
      <c r="U148" t="s">
        <v>280</v>
      </c>
      <c r="V148">
        <v>5530</v>
      </c>
      <c r="W148">
        <v>6580.7</v>
      </c>
    </row>
    <row r="149" spans="1:23" hidden="1" x14ac:dyDescent="0.25">
      <c r="A149">
        <v>1000567278</v>
      </c>
      <c r="B149" t="s">
        <v>106</v>
      </c>
      <c r="C149" t="s">
        <v>138</v>
      </c>
      <c r="D149" t="s">
        <v>23</v>
      </c>
      <c r="E149" t="str">
        <f>VLOOKUP(D149,Catalogo!$A$1:$B$10,2)</f>
        <v>LightTree Innovations</v>
      </c>
      <c r="F149" t="s">
        <v>139</v>
      </c>
      <c r="G149" t="s">
        <v>37</v>
      </c>
      <c r="I149" t="s">
        <v>122</v>
      </c>
      <c r="J149" t="s">
        <v>123</v>
      </c>
      <c r="K149" t="s">
        <v>124</v>
      </c>
      <c r="L149" t="s">
        <v>123</v>
      </c>
      <c r="M149" t="s">
        <v>124</v>
      </c>
      <c r="N149">
        <v>320</v>
      </c>
      <c r="O149" t="s">
        <v>31</v>
      </c>
      <c r="P149">
        <v>411840</v>
      </c>
      <c r="Q149" t="s">
        <v>32</v>
      </c>
      <c r="R149">
        <v>1</v>
      </c>
      <c r="U149" t="s">
        <v>281</v>
      </c>
      <c r="V149">
        <v>1287</v>
      </c>
      <c r="W149">
        <v>1531.53</v>
      </c>
    </row>
    <row r="150" spans="1:23" hidden="1" x14ac:dyDescent="0.25">
      <c r="A150">
        <v>1000567279</v>
      </c>
      <c r="B150" t="s">
        <v>106</v>
      </c>
      <c r="C150" t="s">
        <v>110</v>
      </c>
      <c r="D150" t="s">
        <v>23</v>
      </c>
      <c r="E150" t="str">
        <f>VLOOKUP(D150,Catalogo!$A$1:$B$10,2)</f>
        <v>LightTree Innovations</v>
      </c>
      <c r="F150" t="s">
        <v>111</v>
      </c>
      <c r="G150" t="s">
        <v>37</v>
      </c>
      <c r="I150" t="s">
        <v>122</v>
      </c>
      <c r="J150" t="s">
        <v>123</v>
      </c>
      <c r="K150" t="s">
        <v>124</v>
      </c>
      <c r="L150" t="s">
        <v>123</v>
      </c>
      <c r="M150" t="s">
        <v>124</v>
      </c>
      <c r="N150">
        <v>124</v>
      </c>
      <c r="O150" t="s">
        <v>31</v>
      </c>
      <c r="P150">
        <v>372</v>
      </c>
      <c r="Q150" t="s">
        <v>32</v>
      </c>
      <c r="R150">
        <v>1</v>
      </c>
      <c r="U150" t="s">
        <v>282</v>
      </c>
      <c r="V150">
        <v>3</v>
      </c>
      <c r="W150">
        <v>3.57</v>
      </c>
    </row>
    <row r="151" spans="1:23" hidden="1" x14ac:dyDescent="0.25">
      <c r="A151">
        <v>1000567283</v>
      </c>
      <c r="B151" t="s">
        <v>106</v>
      </c>
      <c r="C151" t="s">
        <v>186</v>
      </c>
      <c r="D151" t="s">
        <v>23</v>
      </c>
      <c r="E151" t="str">
        <f>VLOOKUP(D151,Catalogo!$A$1:$B$10,2)</f>
        <v>LightTree Innovations</v>
      </c>
      <c r="F151" t="s">
        <v>187</v>
      </c>
      <c r="G151" t="s">
        <v>37</v>
      </c>
      <c r="I151" t="s">
        <v>122</v>
      </c>
      <c r="J151" t="s">
        <v>123</v>
      </c>
      <c r="K151" t="s">
        <v>124</v>
      </c>
      <c r="L151" t="s">
        <v>124</v>
      </c>
      <c r="M151" t="s">
        <v>241</v>
      </c>
      <c r="N151">
        <v>320</v>
      </c>
      <c r="O151" t="s">
        <v>31</v>
      </c>
      <c r="P151">
        <v>39040</v>
      </c>
      <c r="Q151" t="s">
        <v>32</v>
      </c>
      <c r="R151">
        <v>1</v>
      </c>
      <c r="U151" t="s">
        <v>283</v>
      </c>
      <c r="V151">
        <v>122</v>
      </c>
      <c r="W151">
        <v>145.18</v>
      </c>
    </row>
    <row r="152" spans="1:23" hidden="1" x14ac:dyDescent="0.25">
      <c r="A152">
        <v>1000567291</v>
      </c>
      <c r="B152" t="s">
        <v>106</v>
      </c>
      <c r="C152" t="s">
        <v>157</v>
      </c>
      <c r="D152" t="s">
        <v>23</v>
      </c>
      <c r="E152" t="str">
        <f>VLOOKUP(D152,Catalogo!$A$1:$B$10,2)</f>
        <v>LightTree Innovations</v>
      </c>
      <c r="F152" t="s">
        <v>158</v>
      </c>
      <c r="G152" t="s">
        <v>37</v>
      </c>
      <c r="I152" t="s">
        <v>122</v>
      </c>
      <c r="J152" t="s">
        <v>123</v>
      </c>
      <c r="K152" t="s">
        <v>124</v>
      </c>
      <c r="L152" t="s">
        <v>123</v>
      </c>
      <c r="M152" t="s">
        <v>124</v>
      </c>
      <c r="N152">
        <v>320</v>
      </c>
      <c r="O152" t="s">
        <v>31</v>
      </c>
      <c r="P152">
        <v>16000</v>
      </c>
      <c r="Q152" t="s">
        <v>32</v>
      </c>
      <c r="R152">
        <v>1</v>
      </c>
      <c r="U152" t="s">
        <v>284</v>
      </c>
      <c r="V152">
        <v>50</v>
      </c>
      <c r="W152">
        <v>59.5</v>
      </c>
    </row>
    <row r="153" spans="1:23" hidden="1" x14ac:dyDescent="0.25">
      <c r="A153">
        <v>1000567292</v>
      </c>
      <c r="B153" t="s">
        <v>106</v>
      </c>
      <c r="C153" t="s">
        <v>196</v>
      </c>
      <c r="D153" t="s">
        <v>23</v>
      </c>
      <c r="E153" t="str">
        <f>VLOOKUP(D153,Catalogo!$A$1:$B$10,2)</f>
        <v>LightTree Innovations</v>
      </c>
      <c r="F153" t="s">
        <v>197</v>
      </c>
      <c r="G153" t="s">
        <v>37</v>
      </c>
      <c r="I153" t="s">
        <v>122</v>
      </c>
      <c r="J153" t="s">
        <v>123</v>
      </c>
      <c r="K153" t="s">
        <v>124</v>
      </c>
      <c r="L153" t="s">
        <v>123</v>
      </c>
      <c r="M153" t="s">
        <v>124</v>
      </c>
      <c r="N153">
        <v>320</v>
      </c>
      <c r="O153" t="s">
        <v>31</v>
      </c>
      <c r="P153">
        <v>312320</v>
      </c>
      <c r="Q153" t="s">
        <v>32</v>
      </c>
      <c r="R153">
        <v>1</v>
      </c>
      <c r="U153" t="s">
        <v>285</v>
      </c>
      <c r="V153">
        <v>976</v>
      </c>
      <c r="W153">
        <v>1161.44</v>
      </c>
    </row>
    <row r="154" spans="1:23" hidden="1" x14ac:dyDescent="0.25">
      <c r="A154">
        <v>1000567295</v>
      </c>
      <c r="B154" t="s">
        <v>106</v>
      </c>
      <c r="C154" t="s">
        <v>160</v>
      </c>
      <c r="D154" t="s">
        <v>23</v>
      </c>
      <c r="E154" t="str">
        <f>VLOOKUP(D154,Catalogo!$A$1:$B$10,2)</f>
        <v>LightTree Innovations</v>
      </c>
      <c r="F154" t="s">
        <v>161</v>
      </c>
      <c r="G154" t="s">
        <v>37</v>
      </c>
      <c r="I154" t="s">
        <v>122</v>
      </c>
      <c r="J154" t="s">
        <v>123</v>
      </c>
      <c r="K154" t="s">
        <v>124</v>
      </c>
      <c r="L154" t="s">
        <v>123</v>
      </c>
      <c r="M154" t="s">
        <v>124</v>
      </c>
      <c r="N154">
        <v>320</v>
      </c>
      <c r="O154" t="s">
        <v>31</v>
      </c>
      <c r="P154">
        <v>7680</v>
      </c>
      <c r="Q154" t="s">
        <v>32</v>
      </c>
      <c r="R154">
        <v>1</v>
      </c>
      <c r="U154" t="s">
        <v>286</v>
      </c>
      <c r="V154">
        <v>24</v>
      </c>
      <c r="W154">
        <v>28.56</v>
      </c>
    </row>
    <row r="155" spans="1:23" hidden="1" x14ac:dyDescent="0.25">
      <c r="A155">
        <v>1000567296</v>
      </c>
      <c r="B155" t="s">
        <v>106</v>
      </c>
      <c r="C155" t="s">
        <v>120</v>
      </c>
      <c r="D155" t="s">
        <v>23</v>
      </c>
      <c r="E155" t="str">
        <f>VLOOKUP(D155,Catalogo!$A$1:$B$10,2)</f>
        <v>LightTree Innovations</v>
      </c>
      <c r="F155" t="s">
        <v>121</v>
      </c>
      <c r="G155" t="s">
        <v>37</v>
      </c>
      <c r="I155" t="s">
        <v>122</v>
      </c>
      <c r="J155" t="s">
        <v>123</v>
      </c>
      <c r="K155" t="s">
        <v>124</v>
      </c>
      <c r="L155" t="s">
        <v>123</v>
      </c>
      <c r="M155" t="s">
        <v>124</v>
      </c>
      <c r="N155">
        <v>124</v>
      </c>
      <c r="O155" t="s">
        <v>31</v>
      </c>
      <c r="P155">
        <v>6820</v>
      </c>
      <c r="Q155" t="s">
        <v>32</v>
      </c>
      <c r="R155">
        <v>1</v>
      </c>
      <c r="U155" t="s">
        <v>287</v>
      </c>
      <c r="V155">
        <v>55</v>
      </c>
      <c r="W155">
        <v>65.45</v>
      </c>
    </row>
    <row r="156" spans="1:23" hidden="1" x14ac:dyDescent="0.25">
      <c r="A156">
        <v>1000567308</v>
      </c>
      <c r="B156" t="s">
        <v>106</v>
      </c>
      <c r="C156" t="s">
        <v>110</v>
      </c>
      <c r="D156" t="s">
        <v>23</v>
      </c>
      <c r="E156" t="str">
        <f>VLOOKUP(D156,Catalogo!$A$1:$B$10,2)</f>
        <v>LightTree Innovations</v>
      </c>
      <c r="F156" t="s">
        <v>111</v>
      </c>
      <c r="G156" t="s">
        <v>37</v>
      </c>
      <c r="I156" t="s">
        <v>122</v>
      </c>
      <c r="J156" t="s">
        <v>123</v>
      </c>
      <c r="K156" t="s">
        <v>124</v>
      </c>
      <c r="L156" t="s">
        <v>123</v>
      </c>
      <c r="M156" t="s">
        <v>124</v>
      </c>
      <c r="N156">
        <v>124</v>
      </c>
      <c r="O156" t="s">
        <v>31</v>
      </c>
      <c r="P156">
        <v>372</v>
      </c>
      <c r="Q156" t="s">
        <v>32</v>
      </c>
      <c r="R156">
        <v>1</v>
      </c>
      <c r="U156" t="s">
        <v>288</v>
      </c>
      <c r="V156">
        <v>3</v>
      </c>
      <c r="W156">
        <v>3.57</v>
      </c>
    </row>
    <row r="157" spans="1:23" hidden="1" x14ac:dyDescent="0.25">
      <c r="A157">
        <v>1000567312</v>
      </c>
      <c r="B157" t="s">
        <v>106</v>
      </c>
      <c r="C157" t="s">
        <v>117</v>
      </c>
      <c r="D157" t="s">
        <v>23</v>
      </c>
      <c r="E157" t="str">
        <f>VLOOKUP(D157,Catalogo!$A$1:$B$10,2)</f>
        <v>LightTree Innovations</v>
      </c>
      <c r="F157" t="s">
        <v>118</v>
      </c>
      <c r="G157" t="s">
        <v>37</v>
      </c>
      <c r="I157" t="s">
        <v>122</v>
      </c>
      <c r="J157" t="s">
        <v>123</v>
      </c>
      <c r="K157" t="s">
        <v>124</v>
      </c>
      <c r="L157" t="s">
        <v>123</v>
      </c>
      <c r="M157" t="s">
        <v>124</v>
      </c>
      <c r="N157">
        <v>124</v>
      </c>
      <c r="O157" t="s">
        <v>31</v>
      </c>
      <c r="P157">
        <v>2356</v>
      </c>
      <c r="Q157" t="s">
        <v>32</v>
      </c>
      <c r="R157">
        <v>1</v>
      </c>
      <c r="U157" t="s">
        <v>289</v>
      </c>
      <c r="V157">
        <v>19</v>
      </c>
      <c r="W157">
        <v>22.61</v>
      </c>
    </row>
    <row r="158" spans="1:23" hidden="1" x14ac:dyDescent="0.25">
      <c r="A158">
        <v>1000567314</v>
      </c>
      <c r="B158" t="s">
        <v>106</v>
      </c>
      <c r="C158" t="s">
        <v>196</v>
      </c>
      <c r="D158" t="s">
        <v>23</v>
      </c>
      <c r="E158" t="str">
        <f>VLOOKUP(D158,Catalogo!$A$1:$B$10,2)</f>
        <v>LightTree Innovations</v>
      </c>
      <c r="F158" t="s">
        <v>197</v>
      </c>
      <c r="G158" t="s">
        <v>37</v>
      </c>
      <c r="I158" t="s">
        <v>122</v>
      </c>
      <c r="J158" t="s">
        <v>123</v>
      </c>
      <c r="K158" t="s">
        <v>124</v>
      </c>
      <c r="L158" t="s">
        <v>123</v>
      </c>
      <c r="M158" t="s">
        <v>124</v>
      </c>
      <c r="N158">
        <v>124</v>
      </c>
      <c r="O158" t="s">
        <v>31</v>
      </c>
      <c r="P158">
        <v>121024</v>
      </c>
      <c r="Q158" t="s">
        <v>32</v>
      </c>
      <c r="R158">
        <v>1</v>
      </c>
      <c r="U158" t="s">
        <v>290</v>
      </c>
      <c r="V158">
        <v>976</v>
      </c>
      <c r="W158">
        <v>1161.44</v>
      </c>
    </row>
    <row r="159" spans="1:23" hidden="1" x14ac:dyDescent="0.25">
      <c r="A159">
        <v>1000567315</v>
      </c>
      <c r="B159" t="s">
        <v>106</v>
      </c>
      <c r="C159" t="s">
        <v>135</v>
      </c>
      <c r="D159" t="s">
        <v>23</v>
      </c>
      <c r="E159" t="str">
        <f>VLOOKUP(D159,Catalogo!$A$1:$B$10,2)</f>
        <v>LightTree Innovations</v>
      </c>
      <c r="F159" t="s">
        <v>136</v>
      </c>
      <c r="G159" t="s">
        <v>37</v>
      </c>
      <c r="I159" t="s">
        <v>122</v>
      </c>
      <c r="J159" t="s">
        <v>123</v>
      </c>
      <c r="K159" t="s">
        <v>124</v>
      </c>
      <c r="L159" t="s">
        <v>123</v>
      </c>
      <c r="M159" t="s">
        <v>124</v>
      </c>
      <c r="N159">
        <v>320</v>
      </c>
      <c r="O159" t="s">
        <v>31</v>
      </c>
      <c r="P159">
        <v>34560</v>
      </c>
      <c r="Q159" t="s">
        <v>32</v>
      </c>
      <c r="R159">
        <v>1</v>
      </c>
      <c r="U159" t="s">
        <v>291</v>
      </c>
      <c r="V159">
        <v>108</v>
      </c>
      <c r="W159">
        <v>128.52000000000001</v>
      </c>
    </row>
    <row r="160" spans="1:23" hidden="1" x14ac:dyDescent="0.25">
      <c r="A160">
        <v>1000567319</v>
      </c>
      <c r="B160" t="s">
        <v>106</v>
      </c>
      <c r="C160" t="s">
        <v>186</v>
      </c>
      <c r="D160" t="s">
        <v>23</v>
      </c>
      <c r="E160" t="str">
        <f>VLOOKUP(D160,Catalogo!$A$1:$B$10,2)</f>
        <v>LightTree Innovations</v>
      </c>
      <c r="F160" t="s">
        <v>187</v>
      </c>
      <c r="G160" t="s">
        <v>37</v>
      </c>
      <c r="I160" t="s">
        <v>122</v>
      </c>
      <c r="J160" t="s">
        <v>123</v>
      </c>
      <c r="K160" t="s">
        <v>124</v>
      </c>
      <c r="L160" t="s">
        <v>123</v>
      </c>
      <c r="M160" t="s">
        <v>124</v>
      </c>
      <c r="N160">
        <v>320</v>
      </c>
      <c r="O160" t="s">
        <v>31</v>
      </c>
      <c r="P160">
        <v>39040</v>
      </c>
      <c r="Q160" t="s">
        <v>32</v>
      </c>
      <c r="R160">
        <v>1</v>
      </c>
      <c r="U160" t="s">
        <v>292</v>
      </c>
      <c r="V160">
        <v>122</v>
      </c>
      <c r="W160">
        <v>145.18</v>
      </c>
    </row>
    <row r="161" spans="1:23" hidden="1" x14ac:dyDescent="0.25">
      <c r="A161">
        <v>1000567321</v>
      </c>
      <c r="B161" t="s">
        <v>106</v>
      </c>
      <c r="C161" t="s">
        <v>138</v>
      </c>
      <c r="D161" t="s">
        <v>23</v>
      </c>
      <c r="E161" t="str">
        <f>VLOOKUP(D161,Catalogo!$A$1:$B$10,2)</f>
        <v>LightTree Innovations</v>
      </c>
      <c r="F161" t="s">
        <v>139</v>
      </c>
      <c r="G161" t="s">
        <v>37</v>
      </c>
      <c r="I161" t="s">
        <v>122</v>
      </c>
      <c r="J161" t="s">
        <v>123</v>
      </c>
      <c r="K161" t="s">
        <v>124</v>
      </c>
      <c r="L161" t="s">
        <v>123</v>
      </c>
      <c r="M161" t="s">
        <v>124</v>
      </c>
      <c r="N161">
        <v>320</v>
      </c>
      <c r="O161" t="s">
        <v>31</v>
      </c>
      <c r="P161">
        <v>411840</v>
      </c>
      <c r="Q161" t="s">
        <v>32</v>
      </c>
      <c r="R161">
        <v>1</v>
      </c>
      <c r="U161" t="s">
        <v>293</v>
      </c>
      <c r="V161">
        <v>1287</v>
      </c>
      <c r="W161">
        <v>1531.53</v>
      </c>
    </row>
    <row r="162" spans="1:23" hidden="1" x14ac:dyDescent="0.25">
      <c r="A162">
        <v>1000567327</v>
      </c>
      <c r="B162" t="s">
        <v>106</v>
      </c>
      <c r="C162" t="s">
        <v>148</v>
      </c>
      <c r="D162" t="s">
        <v>23</v>
      </c>
      <c r="E162" t="str">
        <f>VLOOKUP(D162,Catalogo!$A$1:$B$10,2)</f>
        <v>LightTree Innovations</v>
      </c>
      <c r="F162" t="s">
        <v>149</v>
      </c>
      <c r="G162" t="s">
        <v>37</v>
      </c>
      <c r="I162" t="s">
        <v>122</v>
      </c>
      <c r="J162" t="s">
        <v>123</v>
      </c>
      <c r="K162" t="s">
        <v>124</v>
      </c>
      <c r="L162" t="s">
        <v>123</v>
      </c>
      <c r="M162" t="s">
        <v>124</v>
      </c>
      <c r="N162">
        <v>320</v>
      </c>
      <c r="O162" t="s">
        <v>31</v>
      </c>
      <c r="P162">
        <v>135040</v>
      </c>
      <c r="Q162" t="s">
        <v>32</v>
      </c>
      <c r="R162">
        <v>1</v>
      </c>
      <c r="U162" t="s">
        <v>294</v>
      </c>
      <c r="V162">
        <v>422</v>
      </c>
      <c r="W162">
        <v>502.17999999999989</v>
      </c>
    </row>
    <row r="163" spans="1:23" hidden="1" x14ac:dyDescent="0.25">
      <c r="A163">
        <v>1000567336</v>
      </c>
      <c r="B163" t="s">
        <v>106</v>
      </c>
      <c r="C163" t="s">
        <v>169</v>
      </c>
      <c r="D163" t="s">
        <v>23</v>
      </c>
      <c r="E163" t="str">
        <f>VLOOKUP(D163,Catalogo!$A$1:$B$10,2)</f>
        <v>LightTree Innovations</v>
      </c>
      <c r="F163" t="s">
        <v>170</v>
      </c>
      <c r="G163" t="s">
        <v>37</v>
      </c>
      <c r="I163" t="s">
        <v>122</v>
      </c>
      <c r="J163" t="s">
        <v>123</v>
      </c>
      <c r="K163" t="s">
        <v>124</v>
      </c>
      <c r="L163" t="s">
        <v>123</v>
      </c>
      <c r="M163" t="s">
        <v>124</v>
      </c>
      <c r="N163">
        <v>124</v>
      </c>
      <c r="O163" t="s">
        <v>31</v>
      </c>
      <c r="P163">
        <v>180048</v>
      </c>
      <c r="Q163" t="s">
        <v>32</v>
      </c>
      <c r="R163">
        <v>1</v>
      </c>
      <c r="U163" t="s">
        <v>295</v>
      </c>
      <c r="V163">
        <v>1452</v>
      </c>
      <c r="W163">
        <v>1727.88</v>
      </c>
    </row>
    <row r="164" spans="1:23" hidden="1" x14ac:dyDescent="0.25">
      <c r="A164">
        <v>1000567346</v>
      </c>
      <c r="B164" t="s">
        <v>106</v>
      </c>
      <c r="C164" t="s">
        <v>110</v>
      </c>
      <c r="D164" t="s">
        <v>23</v>
      </c>
      <c r="E164" t="str">
        <f>VLOOKUP(D164,Catalogo!$A$1:$B$10,2)</f>
        <v>LightTree Innovations</v>
      </c>
      <c r="F164" t="s">
        <v>111</v>
      </c>
      <c r="G164" t="s">
        <v>37</v>
      </c>
      <c r="I164" t="s">
        <v>122</v>
      </c>
      <c r="J164" t="s">
        <v>123</v>
      </c>
      <c r="K164" t="s">
        <v>124</v>
      </c>
      <c r="L164" t="s">
        <v>123</v>
      </c>
      <c r="M164" t="s">
        <v>124</v>
      </c>
      <c r="N164">
        <v>320</v>
      </c>
      <c r="O164" t="s">
        <v>31</v>
      </c>
      <c r="P164">
        <v>960</v>
      </c>
      <c r="Q164" t="s">
        <v>32</v>
      </c>
      <c r="R164">
        <v>1</v>
      </c>
      <c r="U164" t="s">
        <v>296</v>
      </c>
      <c r="V164">
        <v>3</v>
      </c>
      <c r="W164">
        <v>3.57</v>
      </c>
    </row>
    <row r="165" spans="1:23" hidden="1" x14ac:dyDescent="0.25">
      <c r="A165">
        <v>1000567351</v>
      </c>
      <c r="B165" t="s">
        <v>106</v>
      </c>
      <c r="C165" t="s">
        <v>196</v>
      </c>
      <c r="D165" t="s">
        <v>23</v>
      </c>
      <c r="E165" t="str">
        <f>VLOOKUP(D165,Catalogo!$A$1:$B$10,2)</f>
        <v>LightTree Innovations</v>
      </c>
      <c r="F165" t="s">
        <v>197</v>
      </c>
      <c r="G165" t="s">
        <v>37</v>
      </c>
      <c r="I165" t="s">
        <v>122</v>
      </c>
      <c r="J165" t="s">
        <v>123</v>
      </c>
      <c r="K165" t="s">
        <v>124</v>
      </c>
      <c r="L165" t="s">
        <v>123</v>
      </c>
      <c r="M165" t="s">
        <v>124</v>
      </c>
      <c r="N165">
        <v>124</v>
      </c>
      <c r="O165" t="s">
        <v>31</v>
      </c>
      <c r="P165">
        <v>121024</v>
      </c>
      <c r="Q165" t="s">
        <v>32</v>
      </c>
      <c r="R165">
        <v>1</v>
      </c>
      <c r="U165" t="s">
        <v>297</v>
      </c>
      <c r="V165">
        <v>976</v>
      </c>
      <c r="W165">
        <v>1161.44</v>
      </c>
    </row>
    <row r="166" spans="1:23" hidden="1" x14ac:dyDescent="0.25">
      <c r="A166">
        <v>1000567364</v>
      </c>
      <c r="B166" t="s">
        <v>106</v>
      </c>
      <c r="C166" t="s">
        <v>148</v>
      </c>
      <c r="D166" t="s">
        <v>23</v>
      </c>
      <c r="E166" t="str">
        <f>VLOOKUP(D166,Catalogo!$A$1:$B$10,2)</f>
        <v>LightTree Innovations</v>
      </c>
      <c r="F166" t="s">
        <v>149</v>
      </c>
      <c r="G166" t="s">
        <v>37</v>
      </c>
      <c r="I166" t="s">
        <v>122</v>
      </c>
      <c r="J166" t="s">
        <v>123</v>
      </c>
      <c r="K166" t="s">
        <v>124</v>
      </c>
      <c r="L166" t="s">
        <v>123</v>
      </c>
      <c r="M166" t="s">
        <v>124</v>
      </c>
      <c r="N166">
        <v>320</v>
      </c>
      <c r="O166" t="s">
        <v>31</v>
      </c>
      <c r="P166">
        <v>135040</v>
      </c>
      <c r="Q166" t="s">
        <v>32</v>
      </c>
      <c r="R166">
        <v>1</v>
      </c>
      <c r="U166" t="s">
        <v>298</v>
      </c>
      <c r="V166">
        <v>422</v>
      </c>
      <c r="W166">
        <v>502.17999999999989</v>
      </c>
    </row>
    <row r="167" spans="1:23" hidden="1" x14ac:dyDescent="0.25">
      <c r="A167">
        <v>1000567374</v>
      </c>
      <c r="B167" t="s">
        <v>106</v>
      </c>
      <c r="C167" t="s">
        <v>117</v>
      </c>
      <c r="D167" t="s">
        <v>23</v>
      </c>
      <c r="E167" t="str">
        <f>VLOOKUP(D167,Catalogo!$A$1:$B$10,2)</f>
        <v>LightTree Innovations</v>
      </c>
      <c r="F167" t="s">
        <v>118</v>
      </c>
      <c r="G167" t="s">
        <v>37</v>
      </c>
      <c r="I167" t="s">
        <v>122</v>
      </c>
      <c r="J167" t="s">
        <v>123</v>
      </c>
      <c r="K167" t="s">
        <v>124</v>
      </c>
      <c r="L167" t="s">
        <v>123</v>
      </c>
      <c r="M167" t="s">
        <v>124</v>
      </c>
      <c r="N167">
        <v>320</v>
      </c>
      <c r="O167" t="s">
        <v>31</v>
      </c>
      <c r="P167">
        <v>6080</v>
      </c>
      <c r="Q167" t="s">
        <v>32</v>
      </c>
      <c r="R167">
        <v>1</v>
      </c>
      <c r="U167" t="s">
        <v>299</v>
      </c>
      <c r="V167">
        <v>19</v>
      </c>
      <c r="W167">
        <v>22.61</v>
      </c>
    </row>
    <row r="168" spans="1:23" hidden="1" x14ac:dyDescent="0.25">
      <c r="A168">
        <v>1000567376</v>
      </c>
      <c r="B168" t="s">
        <v>106</v>
      </c>
      <c r="C168" t="s">
        <v>141</v>
      </c>
      <c r="D168" t="s">
        <v>23</v>
      </c>
      <c r="E168" t="str">
        <f>VLOOKUP(D168,Catalogo!$A$1:$B$10,2)</f>
        <v>LightTree Innovations</v>
      </c>
      <c r="F168" t="s">
        <v>142</v>
      </c>
      <c r="G168" t="s">
        <v>37</v>
      </c>
      <c r="I168" t="s">
        <v>122</v>
      </c>
      <c r="J168" t="s">
        <v>123</v>
      </c>
      <c r="K168" t="s">
        <v>124</v>
      </c>
      <c r="L168" t="s">
        <v>123</v>
      </c>
      <c r="M168" t="s">
        <v>124</v>
      </c>
      <c r="N168">
        <v>320</v>
      </c>
      <c r="O168" t="s">
        <v>31</v>
      </c>
      <c r="P168">
        <v>112000</v>
      </c>
      <c r="Q168" t="s">
        <v>32</v>
      </c>
      <c r="R168">
        <v>1</v>
      </c>
      <c r="U168" t="s">
        <v>300</v>
      </c>
      <c r="V168">
        <v>350</v>
      </c>
      <c r="W168">
        <v>416.5</v>
      </c>
    </row>
    <row r="169" spans="1:23" hidden="1" x14ac:dyDescent="0.25">
      <c r="A169">
        <v>1000567378</v>
      </c>
      <c r="B169" t="s">
        <v>106</v>
      </c>
      <c r="C169" t="s">
        <v>110</v>
      </c>
      <c r="D169" t="s">
        <v>23</v>
      </c>
      <c r="E169" t="str">
        <f>VLOOKUP(D169,Catalogo!$A$1:$B$10,2)</f>
        <v>LightTree Innovations</v>
      </c>
      <c r="F169" t="s">
        <v>111</v>
      </c>
      <c r="G169" t="s">
        <v>37</v>
      </c>
      <c r="I169" t="s">
        <v>122</v>
      </c>
      <c r="J169" t="s">
        <v>123</v>
      </c>
      <c r="K169" t="s">
        <v>124</v>
      </c>
      <c r="L169" t="s">
        <v>123</v>
      </c>
      <c r="M169" t="s">
        <v>124</v>
      </c>
      <c r="N169">
        <v>124</v>
      </c>
      <c r="O169" t="s">
        <v>31</v>
      </c>
      <c r="P169">
        <v>620</v>
      </c>
      <c r="Q169" t="s">
        <v>32</v>
      </c>
      <c r="R169">
        <v>1</v>
      </c>
      <c r="U169" t="s">
        <v>301</v>
      </c>
      <c r="V169">
        <v>5</v>
      </c>
      <c r="W169">
        <v>5.9499999999999993</v>
      </c>
    </row>
    <row r="170" spans="1:23" hidden="1" x14ac:dyDescent="0.25">
      <c r="A170">
        <v>1000567383</v>
      </c>
      <c r="B170" t="s">
        <v>106</v>
      </c>
      <c r="C170" t="s">
        <v>110</v>
      </c>
      <c r="D170" t="s">
        <v>23</v>
      </c>
      <c r="E170" t="str">
        <f>VLOOKUP(D170,Catalogo!$A$1:$B$10,2)</f>
        <v>LightTree Innovations</v>
      </c>
      <c r="F170" t="s">
        <v>111</v>
      </c>
      <c r="G170" t="s">
        <v>37</v>
      </c>
      <c r="I170" t="s">
        <v>122</v>
      </c>
      <c r="J170" t="s">
        <v>123</v>
      </c>
      <c r="K170" t="s">
        <v>124</v>
      </c>
      <c r="L170" t="s">
        <v>221</v>
      </c>
      <c r="M170" t="s">
        <v>151</v>
      </c>
      <c r="N170">
        <v>124</v>
      </c>
      <c r="O170" t="s">
        <v>31</v>
      </c>
      <c r="P170">
        <v>372</v>
      </c>
      <c r="Q170" t="s">
        <v>32</v>
      </c>
      <c r="R170">
        <v>1</v>
      </c>
      <c r="U170" t="s">
        <v>302</v>
      </c>
      <c r="V170">
        <v>3</v>
      </c>
      <c r="W170">
        <v>3.57</v>
      </c>
    </row>
    <row r="171" spans="1:23" hidden="1" x14ac:dyDescent="0.25">
      <c r="A171">
        <v>1000567387</v>
      </c>
      <c r="B171" t="s">
        <v>106</v>
      </c>
      <c r="C171" t="s">
        <v>160</v>
      </c>
      <c r="D171" t="s">
        <v>23</v>
      </c>
      <c r="E171" t="str">
        <f>VLOOKUP(D171,Catalogo!$A$1:$B$10,2)</f>
        <v>LightTree Innovations</v>
      </c>
      <c r="F171" t="s">
        <v>161</v>
      </c>
      <c r="G171" t="s">
        <v>37</v>
      </c>
      <c r="I171" t="s">
        <v>122</v>
      </c>
      <c r="J171" t="s">
        <v>123</v>
      </c>
      <c r="K171" t="s">
        <v>124</v>
      </c>
      <c r="L171" t="s">
        <v>123</v>
      </c>
      <c r="M171" t="s">
        <v>124</v>
      </c>
      <c r="N171">
        <v>124</v>
      </c>
      <c r="O171" t="s">
        <v>31</v>
      </c>
      <c r="P171">
        <v>2976</v>
      </c>
      <c r="Q171" t="s">
        <v>32</v>
      </c>
      <c r="R171">
        <v>1</v>
      </c>
      <c r="U171" t="s">
        <v>303</v>
      </c>
      <c r="V171">
        <v>24</v>
      </c>
      <c r="W171">
        <v>28.56</v>
      </c>
    </row>
    <row r="172" spans="1:23" hidden="1" x14ac:dyDescent="0.25">
      <c r="A172">
        <v>1000567392</v>
      </c>
      <c r="B172" t="s">
        <v>106</v>
      </c>
      <c r="C172" t="s">
        <v>186</v>
      </c>
      <c r="D172" t="s">
        <v>23</v>
      </c>
      <c r="E172" t="str">
        <f>VLOOKUP(D172,Catalogo!$A$1:$B$10,2)</f>
        <v>LightTree Innovations</v>
      </c>
      <c r="F172" t="s">
        <v>187</v>
      </c>
      <c r="G172" t="s">
        <v>37</v>
      </c>
      <c r="I172" t="s">
        <v>122</v>
      </c>
      <c r="J172" t="s">
        <v>123</v>
      </c>
      <c r="K172" t="s">
        <v>124</v>
      </c>
      <c r="L172" t="s">
        <v>123</v>
      </c>
      <c r="M172" t="s">
        <v>124</v>
      </c>
      <c r="N172">
        <v>124</v>
      </c>
      <c r="O172" t="s">
        <v>31</v>
      </c>
      <c r="P172">
        <v>15128</v>
      </c>
      <c r="Q172" t="s">
        <v>32</v>
      </c>
      <c r="R172">
        <v>1</v>
      </c>
      <c r="U172" t="s">
        <v>304</v>
      </c>
      <c r="V172">
        <v>122</v>
      </c>
      <c r="W172">
        <v>145.18</v>
      </c>
    </row>
    <row r="173" spans="1:23" hidden="1" x14ac:dyDescent="0.25">
      <c r="A173">
        <v>1000567397</v>
      </c>
      <c r="B173" t="s">
        <v>106</v>
      </c>
      <c r="C173" t="s">
        <v>148</v>
      </c>
      <c r="D173" t="s">
        <v>23</v>
      </c>
      <c r="E173" t="str">
        <f>VLOOKUP(D173,Catalogo!$A$1:$B$10,2)</f>
        <v>LightTree Innovations</v>
      </c>
      <c r="F173" t="s">
        <v>149</v>
      </c>
      <c r="G173" t="s">
        <v>37</v>
      </c>
      <c r="I173" t="s">
        <v>122</v>
      </c>
      <c r="J173" t="s">
        <v>123</v>
      </c>
      <c r="K173" t="s">
        <v>124</v>
      </c>
      <c r="L173" t="s">
        <v>123</v>
      </c>
      <c r="M173" t="s">
        <v>124</v>
      </c>
      <c r="N173">
        <v>124</v>
      </c>
      <c r="O173" t="s">
        <v>31</v>
      </c>
      <c r="P173">
        <v>52328</v>
      </c>
      <c r="Q173" t="s">
        <v>32</v>
      </c>
      <c r="R173">
        <v>1</v>
      </c>
      <c r="U173" t="s">
        <v>305</v>
      </c>
      <c r="V173">
        <v>422</v>
      </c>
      <c r="W173">
        <v>502.17999999999989</v>
      </c>
    </row>
    <row r="174" spans="1:23" hidden="1" x14ac:dyDescent="0.25">
      <c r="A174">
        <v>1000567399</v>
      </c>
      <c r="B174" t="s">
        <v>106</v>
      </c>
      <c r="C174" t="s">
        <v>148</v>
      </c>
      <c r="D174" t="s">
        <v>23</v>
      </c>
      <c r="E174" t="str">
        <f>VLOOKUP(D174,Catalogo!$A$1:$B$10,2)</f>
        <v>LightTree Innovations</v>
      </c>
      <c r="F174" t="s">
        <v>149</v>
      </c>
      <c r="G174" t="s">
        <v>37</v>
      </c>
      <c r="I174" t="s">
        <v>122</v>
      </c>
      <c r="J174" t="s">
        <v>123</v>
      </c>
      <c r="K174" t="s">
        <v>124</v>
      </c>
      <c r="L174" t="s">
        <v>123</v>
      </c>
      <c r="M174" t="s">
        <v>124</v>
      </c>
      <c r="N174">
        <v>320</v>
      </c>
      <c r="O174" t="s">
        <v>31</v>
      </c>
      <c r="P174">
        <v>131840</v>
      </c>
      <c r="Q174" t="s">
        <v>32</v>
      </c>
      <c r="R174">
        <v>1</v>
      </c>
      <c r="U174" t="s">
        <v>306</v>
      </c>
      <c r="V174">
        <v>412</v>
      </c>
      <c r="W174">
        <v>490.28</v>
      </c>
    </row>
    <row r="175" spans="1:23" hidden="1" x14ac:dyDescent="0.25">
      <c r="A175">
        <v>1000567405</v>
      </c>
      <c r="B175" t="s">
        <v>106</v>
      </c>
      <c r="C175" t="s">
        <v>110</v>
      </c>
      <c r="D175" t="s">
        <v>23</v>
      </c>
      <c r="E175" t="str">
        <f>VLOOKUP(D175,Catalogo!$A$1:$B$10,2)</f>
        <v>LightTree Innovations</v>
      </c>
      <c r="F175" t="s">
        <v>111</v>
      </c>
      <c r="G175" t="s">
        <v>37</v>
      </c>
      <c r="I175" t="s">
        <v>122</v>
      </c>
      <c r="J175" t="s">
        <v>123</v>
      </c>
      <c r="K175" t="s">
        <v>124</v>
      </c>
      <c r="L175" t="s">
        <v>123</v>
      </c>
      <c r="M175" t="s">
        <v>124</v>
      </c>
      <c r="N175">
        <v>320</v>
      </c>
      <c r="O175" t="s">
        <v>31</v>
      </c>
      <c r="P175">
        <v>960</v>
      </c>
      <c r="Q175" t="s">
        <v>32</v>
      </c>
      <c r="R175">
        <v>1</v>
      </c>
      <c r="U175" t="s">
        <v>307</v>
      </c>
      <c r="V175">
        <v>3</v>
      </c>
      <c r="W175">
        <v>3.57</v>
      </c>
    </row>
    <row r="176" spans="1:23" hidden="1" x14ac:dyDescent="0.25">
      <c r="A176">
        <v>1000567415</v>
      </c>
      <c r="B176" t="s">
        <v>106</v>
      </c>
      <c r="C176" t="s">
        <v>210</v>
      </c>
      <c r="D176" t="s">
        <v>23</v>
      </c>
      <c r="E176" t="str">
        <f>VLOOKUP(D176,Catalogo!$A$1:$B$10,2)</f>
        <v>LightTree Innovations</v>
      </c>
      <c r="F176" t="s">
        <v>211</v>
      </c>
      <c r="G176" t="s">
        <v>37</v>
      </c>
      <c r="I176" t="s">
        <v>122</v>
      </c>
      <c r="J176" t="s">
        <v>123</v>
      </c>
      <c r="K176" t="s">
        <v>124</v>
      </c>
      <c r="L176" t="s">
        <v>123</v>
      </c>
      <c r="M176" t="s">
        <v>124</v>
      </c>
      <c r="N176">
        <v>320</v>
      </c>
      <c r="O176" t="s">
        <v>31</v>
      </c>
      <c r="P176">
        <v>60480</v>
      </c>
      <c r="Q176" t="s">
        <v>32</v>
      </c>
      <c r="R176">
        <v>1</v>
      </c>
      <c r="U176" t="s">
        <v>308</v>
      </c>
      <c r="V176">
        <v>189</v>
      </c>
      <c r="W176">
        <v>224.91</v>
      </c>
    </row>
    <row r="177" spans="1:23" hidden="1" x14ac:dyDescent="0.25">
      <c r="A177">
        <v>1000567416</v>
      </c>
      <c r="B177" t="s">
        <v>106</v>
      </c>
      <c r="C177" t="s">
        <v>110</v>
      </c>
      <c r="D177" t="s">
        <v>23</v>
      </c>
      <c r="E177" t="str">
        <f>VLOOKUP(D177,Catalogo!$A$1:$B$10,2)</f>
        <v>LightTree Innovations</v>
      </c>
      <c r="F177" t="s">
        <v>111</v>
      </c>
      <c r="G177" t="s">
        <v>37</v>
      </c>
      <c r="I177" t="s">
        <v>122</v>
      </c>
      <c r="J177" t="s">
        <v>123</v>
      </c>
      <c r="K177" t="s">
        <v>124</v>
      </c>
      <c r="L177" t="s">
        <v>123</v>
      </c>
      <c r="M177" t="s">
        <v>124</v>
      </c>
      <c r="N177">
        <v>320</v>
      </c>
      <c r="O177" t="s">
        <v>31</v>
      </c>
      <c r="P177">
        <v>1600</v>
      </c>
      <c r="Q177" t="s">
        <v>32</v>
      </c>
      <c r="R177">
        <v>1</v>
      </c>
      <c r="U177" t="s">
        <v>309</v>
      </c>
      <c r="V177">
        <v>5</v>
      </c>
      <c r="W177">
        <v>5.9499999999999993</v>
      </c>
    </row>
    <row r="178" spans="1:23" hidden="1" x14ac:dyDescent="0.25">
      <c r="A178">
        <v>1000567417</v>
      </c>
      <c r="B178" t="s">
        <v>106</v>
      </c>
      <c r="C178" t="s">
        <v>160</v>
      </c>
      <c r="D178" t="s">
        <v>23</v>
      </c>
      <c r="E178" t="str">
        <f>VLOOKUP(D178,Catalogo!$A$1:$B$10,2)</f>
        <v>LightTree Innovations</v>
      </c>
      <c r="F178" t="s">
        <v>161</v>
      </c>
      <c r="G178" t="s">
        <v>37</v>
      </c>
      <c r="I178" t="s">
        <v>122</v>
      </c>
      <c r="J178" t="s">
        <v>123</v>
      </c>
      <c r="K178" t="s">
        <v>124</v>
      </c>
      <c r="L178" t="s">
        <v>123</v>
      </c>
      <c r="M178" t="s">
        <v>124</v>
      </c>
      <c r="N178">
        <v>124</v>
      </c>
      <c r="O178" t="s">
        <v>31</v>
      </c>
      <c r="P178">
        <v>2976</v>
      </c>
      <c r="Q178" t="s">
        <v>32</v>
      </c>
      <c r="R178">
        <v>1</v>
      </c>
      <c r="U178" t="s">
        <v>310</v>
      </c>
      <c r="V178">
        <v>24</v>
      </c>
      <c r="W178">
        <v>28.56</v>
      </c>
    </row>
    <row r="179" spans="1:23" hidden="1" x14ac:dyDescent="0.25">
      <c r="A179">
        <v>1000567419</v>
      </c>
      <c r="B179" t="s">
        <v>106</v>
      </c>
      <c r="C179" t="s">
        <v>176</v>
      </c>
      <c r="D179" t="s">
        <v>23</v>
      </c>
      <c r="E179" t="str">
        <f>VLOOKUP(D179,Catalogo!$A$1:$B$10,2)</f>
        <v>LightTree Innovations</v>
      </c>
      <c r="F179" t="s">
        <v>177</v>
      </c>
      <c r="G179" t="s">
        <v>37</v>
      </c>
      <c r="I179" t="s">
        <v>122</v>
      </c>
      <c r="J179" t="s">
        <v>123</v>
      </c>
      <c r="K179" t="s">
        <v>124</v>
      </c>
      <c r="L179" t="s">
        <v>123</v>
      </c>
      <c r="M179" t="s">
        <v>124</v>
      </c>
      <c r="N179">
        <v>124</v>
      </c>
      <c r="O179" t="s">
        <v>31</v>
      </c>
      <c r="P179">
        <v>25172</v>
      </c>
      <c r="Q179" t="s">
        <v>32</v>
      </c>
      <c r="R179">
        <v>1</v>
      </c>
      <c r="U179" t="s">
        <v>311</v>
      </c>
      <c r="V179">
        <v>203</v>
      </c>
      <c r="W179">
        <v>241.57</v>
      </c>
    </row>
    <row r="180" spans="1:23" hidden="1" x14ac:dyDescent="0.25">
      <c r="A180">
        <v>1000567423</v>
      </c>
      <c r="B180" t="s">
        <v>106</v>
      </c>
      <c r="C180" t="s">
        <v>141</v>
      </c>
      <c r="D180" t="s">
        <v>23</v>
      </c>
      <c r="E180" t="str">
        <f>VLOOKUP(D180,Catalogo!$A$1:$B$10,2)</f>
        <v>LightTree Innovations</v>
      </c>
      <c r="F180" t="s">
        <v>142</v>
      </c>
      <c r="G180" t="s">
        <v>37</v>
      </c>
      <c r="I180" t="s">
        <v>122</v>
      </c>
      <c r="J180" t="s">
        <v>123</v>
      </c>
      <c r="K180" t="s">
        <v>124</v>
      </c>
      <c r="L180" t="s">
        <v>123</v>
      </c>
      <c r="M180" t="s">
        <v>124</v>
      </c>
      <c r="N180">
        <v>124</v>
      </c>
      <c r="O180" t="s">
        <v>31</v>
      </c>
      <c r="P180">
        <v>43400</v>
      </c>
      <c r="Q180" t="s">
        <v>32</v>
      </c>
      <c r="R180">
        <v>1</v>
      </c>
      <c r="U180" t="s">
        <v>312</v>
      </c>
      <c r="V180">
        <v>350</v>
      </c>
      <c r="W180">
        <v>416.5</v>
      </c>
    </row>
    <row r="181" spans="1:23" hidden="1" x14ac:dyDescent="0.25">
      <c r="A181">
        <v>1000567424</v>
      </c>
      <c r="B181" t="s">
        <v>106</v>
      </c>
      <c r="C181" t="s">
        <v>138</v>
      </c>
      <c r="D181" t="s">
        <v>23</v>
      </c>
      <c r="E181" t="str">
        <f>VLOOKUP(D181,Catalogo!$A$1:$B$10,2)</f>
        <v>LightTree Innovations</v>
      </c>
      <c r="F181" t="s">
        <v>139</v>
      </c>
      <c r="G181" t="s">
        <v>37</v>
      </c>
      <c r="I181" t="s">
        <v>122</v>
      </c>
      <c r="J181" t="s">
        <v>123</v>
      </c>
      <c r="K181" t="s">
        <v>124</v>
      </c>
      <c r="L181" t="s">
        <v>123</v>
      </c>
      <c r="M181" t="s">
        <v>124</v>
      </c>
      <c r="N181">
        <v>124</v>
      </c>
      <c r="O181" t="s">
        <v>31</v>
      </c>
      <c r="P181">
        <v>159588</v>
      </c>
      <c r="Q181" t="s">
        <v>32</v>
      </c>
      <c r="R181">
        <v>1</v>
      </c>
      <c r="U181" t="s">
        <v>313</v>
      </c>
      <c r="V181">
        <v>1287</v>
      </c>
      <c r="W181">
        <v>1531.53</v>
      </c>
    </row>
    <row r="182" spans="1:23" hidden="1" x14ac:dyDescent="0.25">
      <c r="A182">
        <v>1000567425</v>
      </c>
      <c r="B182" t="s">
        <v>106</v>
      </c>
      <c r="C182" t="s">
        <v>135</v>
      </c>
      <c r="D182" t="s">
        <v>23</v>
      </c>
      <c r="E182" t="str">
        <f>VLOOKUP(D182,Catalogo!$A$1:$B$10,2)</f>
        <v>LightTree Innovations</v>
      </c>
      <c r="F182" t="s">
        <v>136</v>
      </c>
      <c r="G182" t="s">
        <v>37</v>
      </c>
      <c r="I182" t="s">
        <v>122</v>
      </c>
      <c r="J182" t="s">
        <v>123</v>
      </c>
      <c r="K182" t="s">
        <v>124</v>
      </c>
      <c r="L182" t="s">
        <v>123</v>
      </c>
      <c r="M182" t="s">
        <v>124</v>
      </c>
      <c r="N182">
        <v>320</v>
      </c>
      <c r="O182" t="s">
        <v>31</v>
      </c>
      <c r="P182">
        <v>34560</v>
      </c>
      <c r="Q182" t="s">
        <v>32</v>
      </c>
      <c r="R182">
        <v>1</v>
      </c>
      <c r="U182" t="s">
        <v>314</v>
      </c>
      <c r="V182">
        <v>108</v>
      </c>
      <c r="W182">
        <v>128.52000000000001</v>
      </c>
    </row>
    <row r="183" spans="1:23" hidden="1" x14ac:dyDescent="0.25">
      <c r="A183">
        <v>1000567428</v>
      </c>
      <c r="B183" t="s">
        <v>106</v>
      </c>
      <c r="C183" t="s">
        <v>110</v>
      </c>
      <c r="D183" t="s">
        <v>23</v>
      </c>
      <c r="E183" t="str">
        <f>VLOOKUP(D183,Catalogo!$A$1:$B$10,2)</f>
        <v>LightTree Innovations</v>
      </c>
      <c r="F183" t="s">
        <v>111</v>
      </c>
      <c r="G183" t="s">
        <v>37</v>
      </c>
      <c r="I183" t="s">
        <v>122</v>
      </c>
      <c r="J183" t="s">
        <v>123</v>
      </c>
      <c r="K183" t="s">
        <v>124</v>
      </c>
      <c r="L183" t="s">
        <v>123</v>
      </c>
      <c r="M183" t="s">
        <v>124</v>
      </c>
      <c r="N183">
        <v>124</v>
      </c>
      <c r="O183" t="s">
        <v>31</v>
      </c>
      <c r="P183">
        <v>620</v>
      </c>
      <c r="Q183" t="s">
        <v>32</v>
      </c>
      <c r="R183">
        <v>1</v>
      </c>
      <c r="U183" t="s">
        <v>315</v>
      </c>
      <c r="V183">
        <v>5</v>
      </c>
      <c r="W183">
        <v>5.9499999999999993</v>
      </c>
    </row>
    <row r="184" spans="1:23" hidden="1" x14ac:dyDescent="0.25">
      <c r="A184">
        <v>1000567430</v>
      </c>
      <c r="B184" t="s">
        <v>106</v>
      </c>
      <c r="C184" t="s">
        <v>141</v>
      </c>
      <c r="D184" t="s">
        <v>23</v>
      </c>
      <c r="E184" t="str">
        <f>VLOOKUP(D184,Catalogo!$A$1:$B$10,2)</f>
        <v>LightTree Innovations</v>
      </c>
      <c r="F184" t="s">
        <v>142</v>
      </c>
      <c r="G184" t="s">
        <v>37</v>
      </c>
      <c r="I184" t="s">
        <v>122</v>
      </c>
      <c r="J184" t="s">
        <v>123</v>
      </c>
      <c r="K184" t="s">
        <v>124</v>
      </c>
      <c r="L184" t="s">
        <v>123</v>
      </c>
      <c r="M184" t="s">
        <v>124</v>
      </c>
      <c r="N184">
        <v>320</v>
      </c>
      <c r="O184" t="s">
        <v>31</v>
      </c>
      <c r="P184">
        <v>112000</v>
      </c>
      <c r="Q184" t="s">
        <v>32</v>
      </c>
      <c r="R184">
        <v>1</v>
      </c>
      <c r="U184" t="s">
        <v>316</v>
      </c>
      <c r="V184">
        <v>350</v>
      </c>
      <c r="W184">
        <v>416.5</v>
      </c>
    </row>
    <row r="185" spans="1:23" hidden="1" x14ac:dyDescent="0.25">
      <c r="A185">
        <v>1000567438</v>
      </c>
      <c r="B185" t="s">
        <v>106</v>
      </c>
      <c r="C185" t="s">
        <v>176</v>
      </c>
      <c r="D185" t="s">
        <v>23</v>
      </c>
      <c r="E185" t="str">
        <f>VLOOKUP(D185,Catalogo!$A$1:$B$10,2)</f>
        <v>LightTree Innovations</v>
      </c>
      <c r="F185" t="s">
        <v>177</v>
      </c>
      <c r="G185" t="s">
        <v>37</v>
      </c>
      <c r="I185" t="s">
        <v>122</v>
      </c>
      <c r="J185" t="s">
        <v>123</v>
      </c>
      <c r="K185" t="s">
        <v>124</v>
      </c>
      <c r="L185" t="s">
        <v>123</v>
      </c>
      <c r="M185" t="s">
        <v>124</v>
      </c>
      <c r="N185">
        <v>124</v>
      </c>
      <c r="O185" t="s">
        <v>31</v>
      </c>
      <c r="P185">
        <v>25172</v>
      </c>
      <c r="Q185" t="s">
        <v>32</v>
      </c>
      <c r="R185">
        <v>1</v>
      </c>
      <c r="U185" t="s">
        <v>317</v>
      </c>
      <c r="V185">
        <v>203</v>
      </c>
      <c r="W185">
        <v>241.57</v>
      </c>
    </row>
    <row r="186" spans="1:23" hidden="1" x14ac:dyDescent="0.25">
      <c r="A186">
        <v>1000567442</v>
      </c>
      <c r="B186" t="s">
        <v>106</v>
      </c>
      <c r="C186" t="s">
        <v>157</v>
      </c>
      <c r="D186" t="s">
        <v>23</v>
      </c>
      <c r="E186" t="str">
        <f>VLOOKUP(D186,Catalogo!$A$1:$B$10,2)</f>
        <v>LightTree Innovations</v>
      </c>
      <c r="F186" t="s">
        <v>158</v>
      </c>
      <c r="G186" t="s">
        <v>37</v>
      </c>
      <c r="I186" t="s">
        <v>122</v>
      </c>
      <c r="J186" t="s">
        <v>123</v>
      </c>
      <c r="K186" t="s">
        <v>124</v>
      </c>
      <c r="L186" t="s">
        <v>123</v>
      </c>
      <c r="M186" t="s">
        <v>124</v>
      </c>
      <c r="N186">
        <v>124</v>
      </c>
      <c r="O186" t="s">
        <v>31</v>
      </c>
      <c r="P186">
        <v>6200</v>
      </c>
      <c r="Q186" t="s">
        <v>32</v>
      </c>
      <c r="R186">
        <v>1</v>
      </c>
      <c r="U186" t="s">
        <v>318</v>
      </c>
      <c r="V186">
        <v>50</v>
      </c>
      <c r="W186">
        <v>59.5</v>
      </c>
    </row>
    <row r="187" spans="1:23" hidden="1" x14ac:dyDescent="0.25">
      <c r="A187">
        <v>1000567449</v>
      </c>
      <c r="B187" t="s">
        <v>106</v>
      </c>
      <c r="C187" t="s">
        <v>126</v>
      </c>
      <c r="D187" t="s">
        <v>23</v>
      </c>
      <c r="E187" t="str">
        <f>VLOOKUP(D187,Catalogo!$A$1:$B$10,2)</f>
        <v>LightTree Innovations</v>
      </c>
      <c r="F187" t="s">
        <v>127</v>
      </c>
      <c r="G187" t="s">
        <v>37</v>
      </c>
      <c r="I187" t="s">
        <v>122</v>
      </c>
      <c r="J187" t="s">
        <v>123</v>
      </c>
      <c r="K187" t="s">
        <v>124</v>
      </c>
      <c r="L187" t="s">
        <v>123</v>
      </c>
      <c r="M187" t="s">
        <v>124</v>
      </c>
      <c r="N187">
        <v>124</v>
      </c>
      <c r="O187" t="s">
        <v>31</v>
      </c>
      <c r="P187">
        <v>6820</v>
      </c>
      <c r="Q187" t="s">
        <v>32</v>
      </c>
      <c r="R187">
        <v>1</v>
      </c>
      <c r="U187" t="s">
        <v>319</v>
      </c>
      <c r="V187">
        <v>55</v>
      </c>
      <c r="W187">
        <v>65.45</v>
      </c>
    </row>
    <row r="188" spans="1:23" hidden="1" x14ac:dyDescent="0.25">
      <c r="A188">
        <v>1000567451</v>
      </c>
      <c r="B188" t="s">
        <v>106</v>
      </c>
      <c r="C188" t="s">
        <v>126</v>
      </c>
      <c r="D188" t="s">
        <v>23</v>
      </c>
      <c r="E188" t="str">
        <f>VLOOKUP(D188,Catalogo!$A$1:$B$10,2)</f>
        <v>LightTree Innovations</v>
      </c>
      <c r="F188" t="s">
        <v>127</v>
      </c>
      <c r="G188" t="s">
        <v>37</v>
      </c>
      <c r="I188" t="s">
        <v>122</v>
      </c>
      <c r="J188" t="s">
        <v>123</v>
      </c>
      <c r="K188" t="s">
        <v>124</v>
      </c>
      <c r="L188" t="s">
        <v>123</v>
      </c>
      <c r="M188" t="s">
        <v>124</v>
      </c>
      <c r="N188">
        <v>320</v>
      </c>
      <c r="O188" t="s">
        <v>31</v>
      </c>
      <c r="P188">
        <v>17600</v>
      </c>
      <c r="Q188" t="s">
        <v>32</v>
      </c>
      <c r="R188">
        <v>1</v>
      </c>
      <c r="U188" t="s">
        <v>320</v>
      </c>
      <c r="V188">
        <v>55</v>
      </c>
      <c r="W188">
        <v>65.45</v>
      </c>
    </row>
    <row r="189" spans="1:23" hidden="1" x14ac:dyDescent="0.25">
      <c r="A189">
        <v>1000567459</v>
      </c>
      <c r="B189" t="s">
        <v>106</v>
      </c>
      <c r="C189" t="s">
        <v>148</v>
      </c>
      <c r="D189" t="s">
        <v>23</v>
      </c>
      <c r="E189" t="str">
        <f>VLOOKUP(D189,Catalogo!$A$1:$B$10,2)</f>
        <v>LightTree Innovations</v>
      </c>
      <c r="F189" t="s">
        <v>149</v>
      </c>
      <c r="G189" t="s">
        <v>37</v>
      </c>
      <c r="I189" t="s">
        <v>122</v>
      </c>
      <c r="J189" t="s">
        <v>123</v>
      </c>
      <c r="K189" t="s">
        <v>124</v>
      </c>
      <c r="L189" t="s">
        <v>123</v>
      </c>
      <c r="M189" t="s">
        <v>124</v>
      </c>
      <c r="N189">
        <v>124</v>
      </c>
      <c r="O189" t="s">
        <v>31</v>
      </c>
      <c r="P189">
        <v>51088</v>
      </c>
      <c r="Q189" t="s">
        <v>32</v>
      </c>
      <c r="R189">
        <v>1</v>
      </c>
      <c r="U189" t="s">
        <v>321</v>
      </c>
      <c r="V189">
        <v>412</v>
      </c>
      <c r="W189">
        <v>490.28</v>
      </c>
    </row>
    <row r="190" spans="1:23" hidden="1" x14ac:dyDescent="0.25">
      <c r="A190">
        <v>1000567461</v>
      </c>
      <c r="B190" t="s">
        <v>106</v>
      </c>
      <c r="C190" t="s">
        <v>120</v>
      </c>
      <c r="D190" t="s">
        <v>23</v>
      </c>
      <c r="E190" t="str">
        <f>VLOOKUP(D190,Catalogo!$A$1:$B$10,2)</f>
        <v>LightTree Innovations</v>
      </c>
      <c r="F190" t="s">
        <v>121</v>
      </c>
      <c r="G190" t="s">
        <v>37</v>
      </c>
      <c r="I190" t="s">
        <v>122</v>
      </c>
      <c r="J190" t="s">
        <v>123</v>
      </c>
      <c r="K190" t="s">
        <v>124</v>
      </c>
      <c r="L190" t="s">
        <v>123</v>
      </c>
      <c r="M190" t="s">
        <v>124</v>
      </c>
      <c r="N190">
        <v>320</v>
      </c>
      <c r="O190" t="s">
        <v>31</v>
      </c>
      <c r="P190">
        <v>17600</v>
      </c>
      <c r="Q190" t="s">
        <v>32</v>
      </c>
      <c r="R190">
        <v>1</v>
      </c>
      <c r="U190" t="s">
        <v>322</v>
      </c>
      <c r="V190">
        <v>55</v>
      </c>
      <c r="W190">
        <v>65.45</v>
      </c>
    </row>
    <row r="191" spans="1:23" hidden="1" x14ac:dyDescent="0.25">
      <c r="A191">
        <v>1000567464</v>
      </c>
      <c r="B191" t="s">
        <v>106</v>
      </c>
      <c r="C191" t="s">
        <v>120</v>
      </c>
      <c r="D191" t="s">
        <v>23</v>
      </c>
      <c r="E191" t="str">
        <f>VLOOKUP(D191,Catalogo!$A$1:$B$10,2)</f>
        <v>LightTree Innovations</v>
      </c>
      <c r="F191" t="s">
        <v>121</v>
      </c>
      <c r="G191" t="s">
        <v>37</v>
      </c>
      <c r="I191" t="s">
        <v>122</v>
      </c>
      <c r="J191" t="s">
        <v>123</v>
      </c>
      <c r="K191" t="s">
        <v>124</v>
      </c>
      <c r="L191" t="s">
        <v>123</v>
      </c>
      <c r="M191" t="s">
        <v>124</v>
      </c>
      <c r="N191">
        <v>320</v>
      </c>
      <c r="O191" t="s">
        <v>31</v>
      </c>
      <c r="P191">
        <v>17600</v>
      </c>
      <c r="Q191" t="s">
        <v>32</v>
      </c>
      <c r="R191">
        <v>1</v>
      </c>
      <c r="U191" t="s">
        <v>323</v>
      </c>
      <c r="V191">
        <v>55</v>
      </c>
      <c r="W191">
        <v>65.45</v>
      </c>
    </row>
    <row r="192" spans="1:23" hidden="1" x14ac:dyDescent="0.25">
      <c r="A192">
        <v>1000567468</v>
      </c>
      <c r="B192" t="s">
        <v>106</v>
      </c>
      <c r="C192" t="s">
        <v>148</v>
      </c>
      <c r="D192" t="s">
        <v>23</v>
      </c>
      <c r="E192" t="str">
        <f>VLOOKUP(D192,Catalogo!$A$1:$B$10,2)</f>
        <v>LightTree Innovations</v>
      </c>
      <c r="F192" t="s">
        <v>149</v>
      </c>
      <c r="G192" t="s">
        <v>37</v>
      </c>
      <c r="I192" t="s">
        <v>122</v>
      </c>
      <c r="J192" t="s">
        <v>123</v>
      </c>
      <c r="K192" t="s">
        <v>124</v>
      </c>
      <c r="L192" t="s">
        <v>123</v>
      </c>
      <c r="M192" t="s">
        <v>124</v>
      </c>
      <c r="N192">
        <v>320</v>
      </c>
      <c r="O192" t="s">
        <v>31</v>
      </c>
      <c r="P192">
        <v>131840</v>
      </c>
      <c r="Q192" t="s">
        <v>32</v>
      </c>
      <c r="R192">
        <v>1</v>
      </c>
      <c r="U192" t="s">
        <v>324</v>
      </c>
      <c r="V192">
        <v>412</v>
      </c>
      <c r="W192">
        <v>490.28</v>
      </c>
    </row>
    <row r="193" spans="1:23" hidden="1" x14ac:dyDescent="0.25">
      <c r="A193">
        <v>1000567473</v>
      </c>
      <c r="B193" t="s">
        <v>106</v>
      </c>
      <c r="C193" t="s">
        <v>169</v>
      </c>
      <c r="D193" t="s">
        <v>23</v>
      </c>
      <c r="E193" t="str">
        <f>VLOOKUP(D193,Catalogo!$A$1:$B$10,2)</f>
        <v>LightTree Innovations</v>
      </c>
      <c r="F193" t="s">
        <v>170</v>
      </c>
      <c r="G193" t="s">
        <v>37</v>
      </c>
      <c r="I193" t="s">
        <v>122</v>
      </c>
      <c r="J193" t="s">
        <v>123</v>
      </c>
      <c r="K193" t="s">
        <v>124</v>
      </c>
      <c r="L193" t="s">
        <v>123</v>
      </c>
      <c r="M193" t="s">
        <v>124</v>
      </c>
      <c r="N193">
        <v>124</v>
      </c>
      <c r="O193" t="s">
        <v>31</v>
      </c>
      <c r="P193">
        <v>180048</v>
      </c>
      <c r="Q193" t="s">
        <v>32</v>
      </c>
      <c r="R193">
        <v>1</v>
      </c>
      <c r="U193" t="s">
        <v>325</v>
      </c>
      <c r="V193">
        <v>1452</v>
      </c>
      <c r="W193">
        <v>1727.88</v>
      </c>
    </row>
    <row r="194" spans="1:23" hidden="1" x14ac:dyDescent="0.25">
      <c r="A194">
        <v>1000567476</v>
      </c>
      <c r="B194" t="s">
        <v>106</v>
      </c>
      <c r="C194" t="s">
        <v>117</v>
      </c>
      <c r="D194" t="s">
        <v>23</v>
      </c>
      <c r="E194" t="str">
        <f>VLOOKUP(D194,Catalogo!$A$1:$B$10,2)</f>
        <v>LightTree Innovations</v>
      </c>
      <c r="F194" t="s">
        <v>118</v>
      </c>
      <c r="G194" t="s">
        <v>37</v>
      </c>
      <c r="I194" t="s">
        <v>122</v>
      </c>
      <c r="J194" t="s">
        <v>123</v>
      </c>
      <c r="K194" t="s">
        <v>124</v>
      </c>
      <c r="L194" t="s">
        <v>123</v>
      </c>
      <c r="M194" t="s">
        <v>124</v>
      </c>
      <c r="N194">
        <v>320</v>
      </c>
      <c r="O194" t="s">
        <v>31</v>
      </c>
      <c r="P194">
        <v>6080</v>
      </c>
      <c r="Q194" t="s">
        <v>32</v>
      </c>
      <c r="R194">
        <v>1</v>
      </c>
      <c r="U194" t="s">
        <v>326</v>
      </c>
      <c r="V194">
        <v>19</v>
      </c>
      <c r="W194">
        <v>22.61</v>
      </c>
    </row>
    <row r="195" spans="1:23" hidden="1" x14ac:dyDescent="0.25">
      <c r="A195">
        <v>1000567477</v>
      </c>
      <c r="B195" t="s">
        <v>106</v>
      </c>
      <c r="C195" t="s">
        <v>160</v>
      </c>
      <c r="D195" t="s">
        <v>23</v>
      </c>
      <c r="E195" t="str">
        <f>VLOOKUP(D195,Catalogo!$A$1:$B$10,2)</f>
        <v>LightTree Innovations</v>
      </c>
      <c r="F195" t="s">
        <v>161</v>
      </c>
      <c r="G195" t="s">
        <v>37</v>
      </c>
      <c r="I195" t="s">
        <v>122</v>
      </c>
      <c r="J195" t="s">
        <v>123</v>
      </c>
      <c r="K195" t="s">
        <v>124</v>
      </c>
      <c r="L195" t="s">
        <v>123</v>
      </c>
      <c r="M195" t="s">
        <v>124</v>
      </c>
      <c r="N195">
        <v>320</v>
      </c>
      <c r="O195" t="s">
        <v>31</v>
      </c>
      <c r="P195">
        <v>7680</v>
      </c>
      <c r="Q195" t="s">
        <v>32</v>
      </c>
      <c r="R195">
        <v>1</v>
      </c>
      <c r="U195" t="s">
        <v>327</v>
      </c>
      <c r="V195">
        <v>24</v>
      </c>
      <c r="W195">
        <v>28.56</v>
      </c>
    </row>
    <row r="196" spans="1:23" hidden="1" x14ac:dyDescent="0.25">
      <c r="A196">
        <v>1000567478</v>
      </c>
      <c r="B196" t="s">
        <v>106</v>
      </c>
      <c r="C196" t="s">
        <v>196</v>
      </c>
      <c r="D196" t="s">
        <v>23</v>
      </c>
      <c r="E196" t="str">
        <f>VLOOKUP(D196,Catalogo!$A$1:$B$10,2)</f>
        <v>LightTree Innovations</v>
      </c>
      <c r="F196" t="s">
        <v>197</v>
      </c>
      <c r="G196" t="s">
        <v>37</v>
      </c>
      <c r="I196" t="s">
        <v>122</v>
      </c>
      <c r="J196" t="s">
        <v>123</v>
      </c>
      <c r="K196" t="s">
        <v>124</v>
      </c>
      <c r="L196" t="s">
        <v>123</v>
      </c>
      <c r="M196" t="s">
        <v>124</v>
      </c>
      <c r="N196">
        <v>320</v>
      </c>
      <c r="O196" t="s">
        <v>31</v>
      </c>
      <c r="P196">
        <v>312320</v>
      </c>
      <c r="Q196" t="s">
        <v>32</v>
      </c>
      <c r="R196">
        <v>1</v>
      </c>
      <c r="U196" t="s">
        <v>328</v>
      </c>
      <c r="V196">
        <v>976</v>
      </c>
      <c r="W196">
        <v>1161.44</v>
      </c>
    </row>
    <row r="197" spans="1:23" hidden="1" x14ac:dyDescent="0.25">
      <c r="A197">
        <v>1000567481</v>
      </c>
      <c r="B197" t="s">
        <v>106</v>
      </c>
      <c r="C197" t="s">
        <v>169</v>
      </c>
      <c r="D197" t="s">
        <v>23</v>
      </c>
      <c r="E197" t="str">
        <f>VLOOKUP(D197,Catalogo!$A$1:$B$10,2)</f>
        <v>LightTree Innovations</v>
      </c>
      <c r="F197" t="s">
        <v>170</v>
      </c>
      <c r="G197" t="s">
        <v>37</v>
      </c>
      <c r="I197" t="s">
        <v>122</v>
      </c>
      <c r="J197" t="s">
        <v>123</v>
      </c>
      <c r="K197" t="s">
        <v>124</v>
      </c>
      <c r="L197" t="s">
        <v>123</v>
      </c>
      <c r="M197" t="s">
        <v>124</v>
      </c>
      <c r="N197">
        <v>320</v>
      </c>
      <c r="O197" t="s">
        <v>31</v>
      </c>
      <c r="P197">
        <v>316800</v>
      </c>
      <c r="Q197" t="s">
        <v>32</v>
      </c>
      <c r="R197">
        <v>1</v>
      </c>
      <c r="U197" t="s">
        <v>329</v>
      </c>
      <c r="V197">
        <v>990</v>
      </c>
      <c r="W197">
        <v>1178.0999999999999</v>
      </c>
    </row>
    <row r="198" spans="1:23" hidden="1" x14ac:dyDescent="0.25">
      <c r="A198">
        <v>1000567483</v>
      </c>
      <c r="B198" t="s">
        <v>106</v>
      </c>
      <c r="C198" t="s">
        <v>138</v>
      </c>
      <c r="D198" t="s">
        <v>23</v>
      </c>
      <c r="E198" t="str">
        <f>VLOOKUP(D198,Catalogo!$A$1:$B$10,2)</f>
        <v>LightTree Innovations</v>
      </c>
      <c r="F198" t="s">
        <v>139</v>
      </c>
      <c r="G198" t="s">
        <v>37</v>
      </c>
      <c r="I198" t="s">
        <v>122</v>
      </c>
      <c r="J198" t="s">
        <v>123</v>
      </c>
      <c r="K198" t="s">
        <v>124</v>
      </c>
      <c r="L198" t="s">
        <v>123</v>
      </c>
      <c r="M198" t="s">
        <v>124</v>
      </c>
      <c r="N198">
        <v>124</v>
      </c>
      <c r="O198" t="s">
        <v>31</v>
      </c>
      <c r="P198">
        <v>159588</v>
      </c>
      <c r="Q198" t="s">
        <v>32</v>
      </c>
      <c r="R198">
        <v>1</v>
      </c>
      <c r="U198" t="s">
        <v>330</v>
      </c>
      <c r="V198">
        <v>1287</v>
      </c>
      <c r="W198">
        <v>1531.53</v>
      </c>
    </row>
    <row r="199" spans="1:23" hidden="1" x14ac:dyDescent="0.25">
      <c r="A199">
        <v>1000567484</v>
      </c>
      <c r="B199" t="s">
        <v>106</v>
      </c>
      <c r="C199" t="s">
        <v>107</v>
      </c>
      <c r="D199" t="s">
        <v>23</v>
      </c>
      <c r="E199" t="str">
        <f>VLOOKUP(D199,Catalogo!$A$1:$B$10,2)</f>
        <v>LightTree Innovations</v>
      </c>
      <c r="F199" t="s">
        <v>108</v>
      </c>
      <c r="G199" t="s">
        <v>37</v>
      </c>
      <c r="I199" t="s">
        <v>122</v>
      </c>
      <c r="J199" t="s">
        <v>123</v>
      </c>
      <c r="K199" t="s">
        <v>124</v>
      </c>
      <c r="L199" t="s">
        <v>123</v>
      </c>
      <c r="M199" t="s">
        <v>124</v>
      </c>
      <c r="N199">
        <v>124</v>
      </c>
      <c r="O199" t="s">
        <v>31</v>
      </c>
      <c r="P199">
        <v>569408</v>
      </c>
      <c r="Q199" t="s">
        <v>32</v>
      </c>
      <c r="R199">
        <v>1</v>
      </c>
      <c r="U199" t="s">
        <v>331</v>
      </c>
      <c r="V199">
        <v>4592</v>
      </c>
      <c r="W199">
        <v>5464.48</v>
      </c>
    </row>
    <row r="200" spans="1:23" hidden="1" x14ac:dyDescent="0.25">
      <c r="A200">
        <v>1000567490</v>
      </c>
      <c r="B200" t="s">
        <v>106</v>
      </c>
      <c r="C200" t="s">
        <v>271</v>
      </c>
      <c r="D200" t="s">
        <v>23</v>
      </c>
      <c r="E200" t="str">
        <f>VLOOKUP(D200,Catalogo!$A$1:$B$10,2)</f>
        <v>LightTree Innovations</v>
      </c>
      <c r="F200" t="s">
        <v>272</v>
      </c>
      <c r="G200" t="s">
        <v>37</v>
      </c>
      <c r="I200" t="s">
        <v>122</v>
      </c>
      <c r="J200" t="s">
        <v>123</v>
      </c>
      <c r="K200" t="s">
        <v>124</v>
      </c>
      <c r="L200" t="s">
        <v>123</v>
      </c>
      <c r="M200" t="s">
        <v>124</v>
      </c>
      <c r="N200">
        <v>124</v>
      </c>
      <c r="O200" t="s">
        <v>31</v>
      </c>
      <c r="P200">
        <v>117800</v>
      </c>
      <c r="Q200" t="s">
        <v>32</v>
      </c>
      <c r="R200">
        <v>1</v>
      </c>
      <c r="U200" t="s">
        <v>332</v>
      </c>
      <c r="V200">
        <v>950</v>
      </c>
      <c r="W200">
        <v>1130.5</v>
      </c>
    </row>
    <row r="201" spans="1:23" hidden="1" x14ac:dyDescent="0.25">
      <c r="A201">
        <v>1000567495</v>
      </c>
      <c r="B201" t="s">
        <v>106</v>
      </c>
      <c r="C201" t="s">
        <v>157</v>
      </c>
      <c r="D201" t="s">
        <v>23</v>
      </c>
      <c r="E201" t="str">
        <f>VLOOKUP(D201,Catalogo!$A$1:$B$10,2)</f>
        <v>LightTree Innovations</v>
      </c>
      <c r="F201" t="s">
        <v>158</v>
      </c>
      <c r="G201" t="s">
        <v>37</v>
      </c>
      <c r="I201" t="s">
        <v>122</v>
      </c>
      <c r="J201" t="s">
        <v>123</v>
      </c>
      <c r="K201" t="s">
        <v>124</v>
      </c>
      <c r="L201" t="s">
        <v>123</v>
      </c>
      <c r="M201" t="s">
        <v>124</v>
      </c>
      <c r="N201">
        <v>124</v>
      </c>
      <c r="O201" t="s">
        <v>31</v>
      </c>
      <c r="P201">
        <v>6200</v>
      </c>
      <c r="Q201" t="s">
        <v>32</v>
      </c>
      <c r="R201">
        <v>1</v>
      </c>
      <c r="U201" t="s">
        <v>333</v>
      </c>
      <c r="V201">
        <v>50</v>
      </c>
      <c r="W201">
        <v>59.5</v>
      </c>
    </row>
    <row r="202" spans="1:23" hidden="1" x14ac:dyDescent="0.25">
      <c r="A202">
        <v>100044333</v>
      </c>
      <c r="B202" t="s">
        <v>22</v>
      </c>
      <c r="C202" t="s">
        <v>23</v>
      </c>
      <c r="D202" t="s">
        <v>334</v>
      </c>
      <c r="E202" t="str">
        <f>VLOOKUP(D202,Catalogo!$A$1:$B$10,2)</f>
        <v>Meridian Advanced Highway Division</v>
      </c>
      <c r="F202" t="s">
        <v>37</v>
      </c>
      <c r="G202" t="s">
        <v>335</v>
      </c>
      <c r="I202" t="s">
        <v>51</v>
      </c>
      <c r="J202" t="s">
        <v>29</v>
      </c>
      <c r="K202" t="s">
        <v>82</v>
      </c>
      <c r="L202" t="s">
        <v>29</v>
      </c>
      <c r="M202" t="s">
        <v>82</v>
      </c>
      <c r="N202">
        <v>132</v>
      </c>
      <c r="O202" t="s">
        <v>31</v>
      </c>
      <c r="P202">
        <v>165000</v>
      </c>
      <c r="Q202" t="s">
        <v>32</v>
      </c>
      <c r="R202">
        <v>3</v>
      </c>
      <c r="U202" t="s">
        <v>336</v>
      </c>
      <c r="V202">
        <v>1250</v>
      </c>
      <c r="W202">
        <v>1487.5</v>
      </c>
    </row>
    <row r="203" spans="1:23" hidden="1" x14ac:dyDescent="0.25">
      <c r="A203">
        <v>100044334</v>
      </c>
      <c r="B203" t="s">
        <v>22</v>
      </c>
      <c r="C203" t="s">
        <v>23</v>
      </c>
      <c r="D203" t="s">
        <v>334</v>
      </c>
      <c r="E203" t="str">
        <f>VLOOKUP(D203,Catalogo!$A$1:$B$10,2)</f>
        <v>Meridian Advanced Highway Division</v>
      </c>
      <c r="F203" t="s">
        <v>37</v>
      </c>
      <c r="G203" t="s">
        <v>335</v>
      </c>
      <c r="I203" t="s">
        <v>51</v>
      </c>
      <c r="J203" t="s">
        <v>29</v>
      </c>
      <c r="K203" t="s">
        <v>82</v>
      </c>
      <c r="L203" t="s">
        <v>29</v>
      </c>
      <c r="M203" t="s">
        <v>82</v>
      </c>
      <c r="N203">
        <v>66</v>
      </c>
      <c r="O203" t="s">
        <v>31</v>
      </c>
      <c r="P203">
        <v>82500</v>
      </c>
      <c r="Q203" t="s">
        <v>32</v>
      </c>
      <c r="R203">
        <v>3</v>
      </c>
      <c r="U203" t="s">
        <v>337</v>
      </c>
      <c r="V203">
        <v>1250</v>
      </c>
      <c r="W203">
        <v>1487.5</v>
      </c>
    </row>
    <row r="204" spans="1:23" hidden="1" x14ac:dyDescent="0.25">
      <c r="A204">
        <v>100044338</v>
      </c>
      <c r="B204" t="s">
        <v>22</v>
      </c>
      <c r="C204" t="s">
        <v>23</v>
      </c>
      <c r="D204" t="s">
        <v>338</v>
      </c>
      <c r="E204" t="str">
        <f>VLOOKUP(D204,Catalogo!$A$1:$B$10,2)</f>
        <v>New York Digital Operations Transit</v>
      </c>
      <c r="F204" t="s">
        <v>25</v>
      </c>
      <c r="G204" t="s">
        <v>339</v>
      </c>
      <c r="I204" t="s">
        <v>340</v>
      </c>
      <c r="J204" t="s">
        <v>29</v>
      </c>
      <c r="K204" t="s">
        <v>59</v>
      </c>
      <c r="L204" t="s">
        <v>29</v>
      </c>
      <c r="M204" t="s">
        <v>82</v>
      </c>
      <c r="N204">
        <v>512</v>
      </c>
      <c r="O204" t="s">
        <v>31</v>
      </c>
      <c r="P204">
        <v>640000</v>
      </c>
      <c r="Q204" t="s">
        <v>32</v>
      </c>
      <c r="R204">
        <v>3</v>
      </c>
      <c r="U204" t="s">
        <v>341</v>
      </c>
      <c r="V204">
        <v>1250</v>
      </c>
      <c r="W204">
        <v>1487.5</v>
      </c>
    </row>
    <row r="205" spans="1:23" hidden="1" x14ac:dyDescent="0.25">
      <c r="A205">
        <v>100044339</v>
      </c>
      <c r="B205" t="s">
        <v>22</v>
      </c>
      <c r="C205" t="s">
        <v>23</v>
      </c>
      <c r="D205" t="s">
        <v>338</v>
      </c>
      <c r="E205" t="str">
        <f>VLOOKUP(D205,Catalogo!$A$1:$B$10,2)</f>
        <v>New York Digital Operations Transit</v>
      </c>
      <c r="F205" t="s">
        <v>25</v>
      </c>
      <c r="G205" t="s">
        <v>339</v>
      </c>
      <c r="I205" t="s">
        <v>340</v>
      </c>
      <c r="J205" t="s">
        <v>47</v>
      </c>
      <c r="K205" t="s">
        <v>76</v>
      </c>
      <c r="L205" t="s">
        <v>47</v>
      </c>
      <c r="M205" t="s">
        <v>76</v>
      </c>
      <c r="N205">
        <v>124</v>
      </c>
      <c r="O205" t="s">
        <v>31</v>
      </c>
      <c r="P205">
        <v>155000</v>
      </c>
      <c r="Q205" t="s">
        <v>32</v>
      </c>
      <c r="R205">
        <v>3</v>
      </c>
      <c r="U205" t="s">
        <v>342</v>
      </c>
      <c r="V205">
        <v>1250</v>
      </c>
      <c r="W205">
        <v>1487.5</v>
      </c>
    </row>
    <row r="206" spans="1:23" hidden="1" x14ac:dyDescent="0.25">
      <c r="A206">
        <v>100044340</v>
      </c>
      <c r="B206" t="s">
        <v>22</v>
      </c>
      <c r="C206" t="s">
        <v>23</v>
      </c>
      <c r="D206" t="s">
        <v>338</v>
      </c>
      <c r="E206" t="str">
        <f>VLOOKUP(D206,Catalogo!$A$1:$B$10,2)</f>
        <v>New York Digital Operations Transit</v>
      </c>
      <c r="F206" t="s">
        <v>25</v>
      </c>
      <c r="G206" t="s">
        <v>339</v>
      </c>
      <c r="I206" t="s">
        <v>340</v>
      </c>
      <c r="J206" t="s">
        <v>47</v>
      </c>
      <c r="K206" t="s">
        <v>76</v>
      </c>
      <c r="L206" t="s">
        <v>47</v>
      </c>
      <c r="M206" t="s">
        <v>76</v>
      </c>
      <c r="N206">
        <v>37</v>
      </c>
      <c r="O206" t="s">
        <v>31</v>
      </c>
      <c r="P206">
        <v>46250</v>
      </c>
      <c r="Q206" t="s">
        <v>32</v>
      </c>
      <c r="R206">
        <v>3</v>
      </c>
      <c r="U206" t="s">
        <v>343</v>
      </c>
      <c r="V206">
        <v>1250</v>
      </c>
      <c r="W206">
        <v>1487.5</v>
      </c>
    </row>
    <row r="207" spans="1:23" hidden="1" x14ac:dyDescent="0.25">
      <c r="A207">
        <v>100044341</v>
      </c>
      <c r="B207" t="s">
        <v>22</v>
      </c>
      <c r="C207" t="s">
        <v>23</v>
      </c>
      <c r="D207" t="s">
        <v>338</v>
      </c>
      <c r="E207" t="str">
        <f>VLOOKUP(D207,Catalogo!$A$1:$B$10,2)</f>
        <v>New York Digital Operations Transit</v>
      </c>
      <c r="F207" t="s">
        <v>25</v>
      </c>
      <c r="G207" t="s">
        <v>339</v>
      </c>
      <c r="I207" t="s">
        <v>340</v>
      </c>
      <c r="J207" t="s">
        <v>52</v>
      </c>
      <c r="K207" t="s">
        <v>72</v>
      </c>
      <c r="L207" t="s">
        <v>52</v>
      </c>
      <c r="M207" t="s">
        <v>72</v>
      </c>
      <c r="N207">
        <v>320</v>
      </c>
      <c r="O207" t="s">
        <v>31</v>
      </c>
      <c r="P207">
        <v>400000</v>
      </c>
      <c r="Q207" t="s">
        <v>32</v>
      </c>
      <c r="R207">
        <v>3</v>
      </c>
      <c r="U207" t="s">
        <v>344</v>
      </c>
      <c r="V207">
        <v>1250</v>
      </c>
      <c r="W207">
        <v>1487.5</v>
      </c>
    </row>
    <row r="208" spans="1:23" hidden="1" x14ac:dyDescent="0.25">
      <c r="A208">
        <v>100044342</v>
      </c>
      <c r="B208" t="s">
        <v>22</v>
      </c>
      <c r="C208" t="s">
        <v>23</v>
      </c>
      <c r="D208" t="s">
        <v>338</v>
      </c>
      <c r="E208" t="str">
        <f>VLOOKUP(D208,Catalogo!$A$1:$B$10,2)</f>
        <v>New York Digital Operations Transit</v>
      </c>
      <c r="F208" t="s">
        <v>25</v>
      </c>
      <c r="G208" t="s">
        <v>339</v>
      </c>
      <c r="I208" t="s">
        <v>340</v>
      </c>
      <c r="J208" t="s">
        <v>52</v>
      </c>
      <c r="K208" t="s">
        <v>72</v>
      </c>
      <c r="L208" t="s">
        <v>52</v>
      </c>
      <c r="M208" t="s">
        <v>72</v>
      </c>
      <c r="N208">
        <v>320</v>
      </c>
      <c r="O208" t="s">
        <v>31</v>
      </c>
      <c r="P208">
        <v>400000</v>
      </c>
      <c r="Q208" t="s">
        <v>32</v>
      </c>
      <c r="R208">
        <v>3</v>
      </c>
      <c r="U208" t="s">
        <v>345</v>
      </c>
      <c r="V208">
        <v>1250</v>
      </c>
      <c r="W208">
        <v>1487.5</v>
      </c>
    </row>
    <row r="209" spans="1:23" x14ac:dyDescent="0.25">
      <c r="A209">
        <v>100044328</v>
      </c>
      <c r="B209" t="s">
        <v>22</v>
      </c>
      <c r="C209" t="s">
        <v>23</v>
      </c>
      <c r="D209" t="s">
        <v>346</v>
      </c>
      <c r="E209" t="str">
        <f>VLOOKUP(D209,Catalogo!$A$1:$B$10,2)</f>
        <v>Gatos asociados SA</v>
      </c>
      <c r="F209" t="s">
        <v>37</v>
      </c>
      <c r="G209" t="s">
        <v>347</v>
      </c>
      <c r="I209" t="s">
        <v>52</v>
      </c>
      <c r="J209" t="s">
        <v>348</v>
      </c>
      <c r="K209" t="s">
        <v>242</v>
      </c>
      <c r="L209" t="s">
        <v>348</v>
      </c>
      <c r="M209" t="s">
        <v>242</v>
      </c>
      <c r="N209">
        <v>56</v>
      </c>
      <c r="O209" t="s">
        <v>31</v>
      </c>
      <c r="P209">
        <v>70000</v>
      </c>
      <c r="Q209" t="s">
        <v>32</v>
      </c>
      <c r="R209">
        <v>3</v>
      </c>
      <c r="U209" t="s">
        <v>349</v>
      </c>
      <c r="V209">
        <v>1250</v>
      </c>
      <c r="W209">
        <v>1487.5</v>
      </c>
    </row>
    <row r="210" spans="1:23" x14ac:dyDescent="0.25">
      <c r="A210">
        <v>100044329</v>
      </c>
      <c r="B210" t="s">
        <v>22</v>
      </c>
      <c r="C210" t="s">
        <v>23</v>
      </c>
      <c r="D210" t="s">
        <v>346</v>
      </c>
      <c r="E210" t="str">
        <f>VLOOKUP(D210,Catalogo!$A$1:$B$10,2)</f>
        <v>Gatos asociados SA</v>
      </c>
      <c r="F210" t="s">
        <v>37</v>
      </c>
      <c r="G210" t="s">
        <v>347</v>
      </c>
      <c r="I210" t="s">
        <v>52</v>
      </c>
      <c r="J210" t="s">
        <v>348</v>
      </c>
      <c r="K210" t="s">
        <v>242</v>
      </c>
      <c r="L210" t="s">
        <v>348</v>
      </c>
      <c r="M210" t="s">
        <v>242</v>
      </c>
      <c r="N210">
        <v>320</v>
      </c>
      <c r="O210" t="s">
        <v>31</v>
      </c>
      <c r="P210">
        <v>400000</v>
      </c>
      <c r="Q210" t="s">
        <v>32</v>
      </c>
      <c r="R210">
        <v>3</v>
      </c>
      <c r="U210" t="s">
        <v>350</v>
      </c>
      <c r="V210">
        <v>1250</v>
      </c>
      <c r="W210">
        <v>1487.5</v>
      </c>
    </row>
    <row r="211" spans="1:23" x14ac:dyDescent="0.25">
      <c r="A211">
        <v>100044330</v>
      </c>
      <c r="B211" t="s">
        <v>22</v>
      </c>
      <c r="C211" t="s">
        <v>23</v>
      </c>
      <c r="D211" t="s">
        <v>346</v>
      </c>
      <c r="E211" t="str">
        <f>VLOOKUP(D211,Catalogo!$A$1:$B$10,2)</f>
        <v>Gatos asociados SA</v>
      </c>
      <c r="F211" t="s">
        <v>37</v>
      </c>
      <c r="G211" t="s">
        <v>347</v>
      </c>
      <c r="I211" t="s">
        <v>52</v>
      </c>
      <c r="J211" t="s">
        <v>65</v>
      </c>
      <c r="K211" t="s">
        <v>66</v>
      </c>
      <c r="L211" t="s">
        <v>65</v>
      </c>
      <c r="M211" t="s">
        <v>66</v>
      </c>
      <c r="N211">
        <v>12</v>
      </c>
      <c r="O211" t="s">
        <v>31</v>
      </c>
      <c r="P211">
        <v>15000</v>
      </c>
      <c r="Q211" t="s">
        <v>32</v>
      </c>
      <c r="R211">
        <v>3</v>
      </c>
      <c r="U211" t="s">
        <v>351</v>
      </c>
      <c r="V211">
        <v>1250</v>
      </c>
      <c r="W211">
        <v>1487.5</v>
      </c>
    </row>
    <row r="212" spans="1:23" x14ac:dyDescent="0.25">
      <c r="A212">
        <v>100044331</v>
      </c>
      <c r="B212" t="s">
        <v>22</v>
      </c>
      <c r="C212" t="s">
        <v>23</v>
      </c>
      <c r="D212" t="s">
        <v>346</v>
      </c>
      <c r="E212" t="str">
        <f>VLOOKUP(D212,Catalogo!$A$1:$B$10,2)</f>
        <v>Gatos asociados SA</v>
      </c>
      <c r="F212" t="s">
        <v>37</v>
      </c>
      <c r="G212" t="s">
        <v>347</v>
      </c>
      <c r="I212" t="s">
        <v>52</v>
      </c>
      <c r="J212" t="s">
        <v>242</v>
      </c>
      <c r="K212" t="s">
        <v>66</v>
      </c>
      <c r="L212" t="s">
        <v>65</v>
      </c>
      <c r="M212" t="s">
        <v>66</v>
      </c>
      <c r="N212">
        <v>960</v>
      </c>
      <c r="O212" t="s">
        <v>31</v>
      </c>
      <c r="P212">
        <v>1200000</v>
      </c>
      <c r="Q212" t="s">
        <v>32</v>
      </c>
      <c r="R212">
        <v>3</v>
      </c>
      <c r="U212" t="s">
        <v>352</v>
      </c>
      <c r="V212">
        <v>1250</v>
      </c>
      <c r="W212">
        <v>1487.5</v>
      </c>
    </row>
    <row r="213" spans="1:23" x14ac:dyDescent="0.25">
      <c r="A213">
        <v>100044332</v>
      </c>
      <c r="B213" t="s">
        <v>22</v>
      </c>
      <c r="C213" t="s">
        <v>23</v>
      </c>
      <c r="D213" t="s">
        <v>346</v>
      </c>
      <c r="E213" t="str">
        <f>VLOOKUP(D213,Catalogo!$A$1:$B$10,2)</f>
        <v>Gatos asociados SA</v>
      </c>
      <c r="F213" t="s">
        <v>37</v>
      </c>
      <c r="G213" t="s">
        <v>347</v>
      </c>
      <c r="I213" t="s">
        <v>52</v>
      </c>
      <c r="J213" t="s">
        <v>353</v>
      </c>
      <c r="K213" t="s">
        <v>246</v>
      </c>
      <c r="L213" t="s">
        <v>353</v>
      </c>
      <c r="M213" t="s">
        <v>246</v>
      </c>
      <c r="N213">
        <v>56</v>
      </c>
      <c r="O213" t="s">
        <v>31</v>
      </c>
      <c r="P213">
        <v>70000</v>
      </c>
      <c r="Q213" t="s">
        <v>32</v>
      </c>
      <c r="R213">
        <v>3</v>
      </c>
      <c r="U213" t="s">
        <v>354</v>
      </c>
      <c r="V213">
        <v>1250</v>
      </c>
      <c r="W213">
        <v>1487.5</v>
      </c>
    </row>
    <row r="214" spans="1:23" x14ac:dyDescent="0.25">
      <c r="A214">
        <v>100055004</v>
      </c>
      <c r="B214" t="s">
        <v>22</v>
      </c>
      <c r="C214" t="s">
        <v>23</v>
      </c>
      <c r="D214" t="s">
        <v>346</v>
      </c>
      <c r="E214" t="str">
        <f>VLOOKUP(D214,Catalogo!$A$1:$B$10,2)</f>
        <v>Gatos asociados SA</v>
      </c>
      <c r="F214" t="s">
        <v>37</v>
      </c>
      <c r="G214" t="s">
        <v>347</v>
      </c>
      <c r="I214" t="s">
        <v>38</v>
      </c>
      <c r="J214" t="s">
        <v>39</v>
      </c>
      <c r="K214" t="s">
        <v>40</v>
      </c>
      <c r="N214">
        <v>597</v>
      </c>
      <c r="O214" t="s">
        <v>31</v>
      </c>
      <c r="P214">
        <v>44953</v>
      </c>
      <c r="Q214" t="s">
        <v>32</v>
      </c>
      <c r="R214">
        <v>3</v>
      </c>
      <c r="U214" t="s">
        <v>252</v>
      </c>
      <c r="V214">
        <v>75.298157453936355</v>
      </c>
      <c r="W214">
        <v>89.604807370184261</v>
      </c>
    </row>
    <row r="215" spans="1:23" x14ac:dyDescent="0.25">
      <c r="A215">
        <v>100055011</v>
      </c>
      <c r="B215" t="s">
        <v>22</v>
      </c>
      <c r="C215" t="s">
        <v>23</v>
      </c>
      <c r="D215" t="s">
        <v>346</v>
      </c>
      <c r="E215" t="str">
        <f>VLOOKUP(D215,Catalogo!$A$1:$B$10,2)</f>
        <v>Gatos asociados SA</v>
      </c>
      <c r="F215" t="s">
        <v>37</v>
      </c>
      <c r="G215" t="s">
        <v>347</v>
      </c>
      <c r="I215" t="s">
        <v>38</v>
      </c>
      <c r="J215" t="s">
        <v>39</v>
      </c>
      <c r="K215" t="s">
        <v>40</v>
      </c>
      <c r="L215" t="s">
        <v>39</v>
      </c>
      <c r="M215" t="s">
        <v>40</v>
      </c>
      <c r="N215">
        <v>447</v>
      </c>
      <c r="O215" t="s">
        <v>31</v>
      </c>
      <c r="P215">
        <v>27319</v>
      </c>
      <c r="Q215" t="s">
        <v>32</v>
      </c>
      <c r="R215">
        <v>4</v>
      </c>
      <c r="U215" t="s">
        <v>255</v>
      </c>
      <c r="V215">
        <v>61.116331096196873</v>
      </c>
      <c r="W215">
        <v>72.728434004474266</v>
      </c>
    </row>
  </sheetData>
  <autoFilter ref="A1:W215" xr:uid="{00000000-0001-0000-0000-000000000000}">
    <filterColumn colId="3">
      <filters>
        <filter val="QPWD"/>
      </filters>
    </filterColumn>
  </autoFilter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696F-8CFB-4D1C-84DC-BB4FE3793E1D}">
  <dimension ref="A1:D14"/>
  <sheetViews>
    <sheetView tabSelected="1" zoomScale="145" zoomScaleNormal="145" workbookViewId="0">
      <selection activeCell="F21" sqref="F21"/>
    </sheetView>
  </sheetViews>
  <sheetFormatPr baseColWidth="10" defaultRowHeight="15" x14ac:dyDescent="0.25"/>
  <cols>
    <col min="1" max="1" width="26.5703125" bestFit="1" customWidth="1"/>
    <col min="2" max="2" width="34.28515625" bestFit="1" customWidth="1"/>
  </cols>
  <sheetData>
    <row r="1" spans="1:4" x14ac:dyDescent="0.25">
      <c r="A1" s="8" t="s">
        <v>3</v>
      </c>
      <c r="B1" t="s">
        <v>359</v>
      </c>
      <c r="C1" t="s">
        <v>360</v>
      </c>
    </row>
    <row r="2" spans="1:4" x14ac:dyDescent="0.25">
      <c r="A2" t="s">
        <v>24</v>
      </c>
      <c r="B2" t="s">
        <v>361</v>
      </c>
      <c r="C2" s="6">
        <f ca="1">TODAY()</f>
        <v>46118</v>
      </c>
    </row>
    <row r="3" spans="1:4" x14ac:dyDescent="0.25">
      <c r="A3" t="s">
        <v>55</v>
      </c>
      <c r="B3" t="s">
        <v>362</v>
      </c>
      <c r="C3" s="6">
        <f ca="1">C2-451</f>
        <v>45667</v>
      </c>
    </row>
    <row r="4" spans="1:4" x14ac:dyDescent="0.25">
      <c r="A4" t="s">
        <v>79</v>
      </c>
      <c r="B4" t="s">
        <v>363</v>
      </c>
      <c r="C4" s="6">
        <f ca="1">C3-53</f>
        <v>45614</v>
      </c>
    </row>
    <row r="5" spans="1:4" x14ac:dyDescent="0.25">
      <c r="A5" t="s">
        <v>87</v>
      </c>
      <c r="B5" t="s">
        <v>364</v>
      </c>
      <c r="C5" s="6">
        <f ca="1">C4+96</f>
        <v>45710</v>
      </c>
    </row>
    <row r="6" spans="1:4" x14ac:dyDescent="0.25">
      <c r="A6" t="s">
        <v>99</v>
      </c>
      <c r="B6" s="7" t="s">
        <v>365</v>
      </c>
      <c r="C6" s="6">
        <f ca="1">C5-451</f>
        <v>45259</v>
      </c>
    </row>
    <row r="7" spans="1:4" x14ac:dyDescent="0.25">
      <c r="A7" t="s">
        <v>23</v>
      </c>
      <c r="B7" t="s">
        <v>366</v>
      </c>
      <c r="C7" s="6">
        <f ca="1">C6-53</f>
        <v>45206</v>
      </c>
    </row>
    <row r="8" spans="1:4" x14ac:dyDescent="0.25">
      <c r="A8" t="s">
        <v>334</v>
      </c>
      <c r="B8" t="s">
        <v>367</v>
      </c>
      <c r="C8" s="6">
        <f ca="1">C7+96</f>
        <v>45302</v>
      </c>
    </row>
    <row r="9" spans="1:4" x14ac:dyDescent="0.25">
      <c r="A9" t="s">
        <v>338</v>
      </c>
      <c r="B9" t="s">
        <v>368</v>
      </c>
      <c r="C9" s="6">
        <f ca="1">C8-451</f>
        <v>44851</v>
      </c>
      <c r="D9" s="7"/>
    </row>
    <row r="10" spans="1:4" x14ac:dyDescent="0.25">
      <c r="A10" t="s">
        <v>370</v>
      </c>
      <c r="B10" t="s">
        <v>371</v>
      </c>
      <c r="C10" s="6">
        <f ca="1">C9-95</f>
        <v>44756</v>
      </c>
    </row>
    <row r="11" spans="1:4" x14ac:dyDescent="0.25">
      <c r="A11" t="s">
        <v>24</v>
      </c>
      <c r="B11" t="s">
        <v>361</v>
      </c>
      <c r="C11" s="6">
        <f ca="1">C10-95</f>
        <v>44661</v>
      </c>
    </row>
    <row r="14" spans="1:4" x14ac:dyDescent="0.25">
      <c r="B1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Ordenes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David Sainea Céspedes</cp:lastModifiedBy>
  <dcterms:created xsi:type="dcterms:W3CDTF">2025-07-29T00:25:50Z</dcterms:created>
  <dcterms:modified xsi:type="dcterms:W3CDTF">2026-04-07T02:46:44Z</dcterms:modified>
</cp:coreProperties>
</file>